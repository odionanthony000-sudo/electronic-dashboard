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10830" firstSheet="1" activeTab="4"/>
  </bookViews>
  <sheets>
    <sheet name="KING TON SALES__ RAW DATA" sheetId="1" r:id="rId1"/>
    <sheet name="SALES ANALYSIS " sheetId="10" r:id="rId2"/>
    <sheet name="PIVOT TABLE" sheetId="14" r:id="rId3"/>
    <sheet name="KPI" sheetId="13" r:id="rId4"/>
    <sheet name="DASHBOARD" sheetId="12" r:id="rId5"/>
  </sheets>
  <definedNames>
    <definedName name="Slicer_CATEGORY">#N/A</definedName>
    <definedName name="Slicer_CUSTOMER_TYPE">#N/A</definedName>
    <definedName name="Slicer_CITY">#N/A</definedName>
    <definedName name="Slicer_DATE">#N/A</definedName>
    <definedName name="_xlnm._FilterDatabase" localSheetId="1" hidden="1">'SALES ANALYSIS '!$E$2:$E$239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11"/>
        <x14:slicerCache r:id="rId10"/>
        <x14:slicerCache r:id="rId9"/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<sst xmlns="http://schemas.openxmlformats.org/spreadsheetml/2006/main" count="2624" uniqueCount="604">
  <si>
    <t>PRODUCT  ID</t>
  </si>
  <si>
    <t>PRODUCT NAME</t>
  </si>
  <si>
    <t>DATE</t>
  </si>
  <si>
    <t>CATEGORY</t>
  </si>
  <si>
    <t>CUSTOMER TYPE</t>
  </si>
  <si>
    <t>CITY</t>
  </si>
  <si>
    <t>COST PRICE</t>
  </si>
  <si>
    <t xml:space="preserve"> STOCK</t>
  </si>
  <si>
    <t>SELLING PRICE</t>
  </si>
  <si>
    <t>QUANTITY SOLD</t>
  </si>
  <si>
    <t>TOTAL COST</t>
  </si>
  <si>
    <t>REVENUE</t>
  </si>
  <si>
    <t>PAYMENT METHOD</t>
  </si>
  <si>
    <t>DATE A</t>
  </si>
  <si>
    <t>DATE B</t>
  </si>
  <si>
    <t>P001</t>
  </si>
  <si>
    <t>3 TO 3 AV (1.5m) WIRE</t>
  </si>
  <si>
    <t>WIRE</t>
  </si>
  <si>
    <t>MEMEBER</t>
  </si>
  <si>
    <t>WARRI</t>
  </si>
  <si>
    <t>POS</t>
  </si>
  <si>
    <t>P002</t>
  </si>
  <si>
    <t>2 TO 2 AV (1.5m) WIRE</t>
  </si>
  <si>
    <t>NORMAL</t>
  </si>
  <si>
    <t>CASH</t>
  </si>
  <si>
    <t>P003</t>
  </si>
  <si>
    <t>AUX TO 2 AV ( 1.5m) WIRE</t>
  </si>
  <si>
    <t xml:space="preserve">  </t>
  </si>
  <si>
    <t>P004</t>
  </si>
  <si>
    <t>1 TO 1 AUX (1.5m) WIRE</t>
  </si>
  <si>
    <t>TRANSFER</t>
  </si>
  <si>
    <t>P005</t>
  </si>
  <si>
    <t>AUX TO JACK (1.5m) WIRE</t>
  </si>
  <si>
    <t>SAPELE</t>
  </si>
  <si>
    <t>P006</t>
  </si>
  <si>
    <t>JACK TO JACK (1.5m) WIRE</t>
  </si>
  <si>
    <t>UGHELLI</t>
  </si>
  <si>
    <t>P007</t>
  </si>
  <si>
    <t>JACK TO JACK (5m) WIRE</t>
  </si>
  <si>
    <t>P008</t>
  </si>
  <si>
    <t>3 TO 3 AV (5m) WIRE</t>
  </si>
  <si>
    <t>P009</t>
  </si>
  <si>
    <t>3 TO 3 AV (10m) WIRE</t>
  </si>
  <si>
    <t>AGBARO</t>
  </si>
  <si>
    <t>P010</t>
  </si>
  <si>
    <t>3 TO 3 AV (15m) WIRE</t>
  </si>
  <si>
    <t>P011</t>
  </si>
  <si>
    <t>HDMI (1.5m) WIRE</t>
  </si>
  <si>
    <t>P012</t>
  </si>
  <si>
    <t>HDMI (3m) WIRE</t>
  </si>
  <si>
    <t>P013</t>
  </si>
  <si>
    <t>HDMI (5m) WIRE</t>
  </si>
  <si>
    <t>OGHULA</t>
  </si>
  <si>
    <t>P014</t>
  </si>
  <si>
    <t xml:space="preserve">HDMI (10m) WIRE </t>
  </si>
  <si>
    <t>P015</t>
  </si>
  <si>
    <t>HDMI (15m) WIRE</t>
  </si>
  <si>
    <t>P016</t>
  </si>
  <si>
    <t>HDMI (20m) WIRE</t>
  </si>
  <si>
    <t>P017</t>
  </si>
  <si>
    <t>HDMI (30m) WIRE</t>
  </si>
  <si>
    <t>P018</t>
  </si>
  <si>
    <t>HDMI (50m) WIRE</t>
  </si>
  <si>
    <t>P019</t>
  </si>
  <si>
    <t>4K HDMI (5m) WIRE</t>
  </si>
  <si>
    <t>P020</t>
  </si>
  <si>
    <t>4K HDMI (10m) WIRE</t>
  </si>
  <si>
    <t>P021</t>
  </si>
  <si>
    <t>4K HDMI (20m) WIRE</t>
  </si>
  <si>
    <t>P022</t>
  </si>
  <si>
    <t>4K HDMI (50m) WIRE</t>
  </si>
  <si>
    <t>P023</t>
  </si>
  <si>
    <t>4K HDMI (100m) WIRE</t>
  </si>
  <si>
    <t>P024</t>
  </si>
  <si>
    <t>BLUE 4K HDMI (1.5m) WIRE</t>
  </si>
  <si>
    <t>P025</t>
  </si>
  <si>
    <t>BLUE 4K HDMI (3m) WIRE</t>
  </si>
  <si>
    <t>P026</t>
  </si>
  <si>
    <t>BLUE 4K HDMI (5m) WIRE</t>
  </si>
  <si>
    <t>P027</t>
  </si>
  <si>
    <t>BLUE 4K HDMI (10m) WIRE</t>
  </si>
  <si>
    <t>P028</t>
  </si>
  <si>
    <t>BLUE 4K HDMI (15m) WIRE</t>
  </si>
  <si>
    <t>P029</t>
  </si>
  <si>
    <t>DC TO DC MALE (1.5m) WIRE</t>
  </si>
  <si>
    <t>P030</t>
  </si>
  <si>
    <t>DC TO DC MALE (3m) WIRE</t>
  </si>
  <si>
    <t>P031</t>
  </si>
  <si>
    <t>DC TO DC MALE (5m) WIRE</t>
  </si>
  <si>
    <t>P032</t>
  </si>
  <si>
    <t>DC TO FEMALE DC (1.5) WIRE</t>
  </si>
  <si>
    <t>P033</t>
  </si>
  <si>
    <t>SNAKE (Tiny) WIRE</t>
  </si>
  <si>
    <t>P034</t>
  </si>
  <si>
    <t>KAPU WIRE</t>
  </si>
  <si>
    <t>P035</t>
  </si>
  <si>
    <t>ORIGINAL SPEAKER WIRE</t>
  </si>
  <si>
    <t>P036</t>
  </si>
  <si>
    <t>CAT 6 WIRE</t>
  </si>
  <si>
    <t>P037</t>
  </si>
  <si>
    <t>CAT 4 WIRE</t>
  </si>
  <si>
    <t>P038</t>
  </si>
  <si>
    <t>USB TO USB CORD (1.5m)</t>
  </si>
  <si>
    <t>P039</t>
  </si>
  <si>
    <t>USB TO FEMALE USB (1.5m) CORD</t>
  </si>
  <si>
    <t>P040</t>
  </si>
  <si>
    <t>USB TO PRINTER CABLE (1.5m)</t>
  </si>
  <si>
    <t>P041</t>
  </si>
  <si>
    <t>FEMLE TO FEMALE USB (1.5m)</t>
  </si>
  <si>
    <t>P042</t>
  </si>
  <si>
    <t>OPTICAL CABLE (1.5m)</t>
  </si>
  <si>
    <t>P043</t>
  </si>
  <si>
    <t>OPTICAL CABLE (3m)</t>
  </si>
  <si>
    <t>P044</t>
  </si>
  <si>
    <t>13 AMPS PLUG HEAD BENJOR</t>
  </si>
  <si>
    <t>ELECTRICAL</t>
  </si>
  <si>
    <t>P045</t>
  </si>
  <si>
    <t>15 AMPS PLUG HEAD BENJOR</t>
  </si>
  <si>
    <t>P046</t>
  </si>
  <si>
    <t>13 AMPS SINGLE SOCKET BENJOR</t>
  </si>
  <si>
    <t>P047</t>
  </si>
  <si>
    <t>13 AMPS DOUBLE SOCKET BENJOR</t>
  </si>
  <si>
    <t>P048</t>
  </si>
  <si>
    <t>13 AMPS SINGLE SOCKET NEW</t>
  </si>
  <si>
    <t>P049</t>
  </si>
  <si>
    <t>13 AMPS DOUBLE SOCKET NEW</t>
  </si>
  <si>
    <t>P050</t>
  </si>
  <si>
    <t>BIG GENERATOR PLUG HEAD</t>
  </si>
  <si>
    <t>P051</t>
  </si>
  <si>
    <t>SMALL GENERATOR PLUG HEAD</t>
  </si>
  <si>
    <t>P052</t>
  </si>
  <si>
    <t xml:space="preserve">A&amp;Z MULTI </t>
  </si>
  <si>
    <t>P053</t>
  </si>
  <si>
    <t>ORANGE MULTI</t>
  </si>
  <si>
    <t>P054</t>
  </si>
  <si>
    <t>BENJOR MULTI WITH SWITCH</t>
  </si>
  <si>
    <t>P055</t>
  </si>
  <si>
    <t>MULTI EXTENTION 6 MOUTH</t>
  </si>
  <si>
    <t>P056</t>
  </si>
  <si>
    <t>MULTI (APC) EXTENTION 6 MOUTH</t>
  </si>
  <si>
    <t>P057</t>
  </si>
  <si>
    <t>BENJOR EXTENTION 3 MOUTH</t>
  </si>
  <si>
    <t>P058</t>
  </si>
  <si>
    <t>BENJOR EXTENTION 5 MOUTH</t>
  </si>
  <si>
    <t>P059</t>
  </si>
  <si>
    <t>BENJOR EXTENTION 6 MOUTH</t>
  </si>
  <si>
    <t>P060</t>
  </si>
  <si>
    <t>BENJOR EXTENTION 8 MOUTH</t>
  </si>
  <si>
    <t>P061</t>
  </si>
  <si>
    <t>SOLDERING PASTE</t>
  </si>
  <si>
    <t>TOOL</t>
  </si>
  <si>
    <t>P062</t>
  </si>
  <si>
    <t>777 9v BATTERY</t>
  </si>
  <si>
    <t>BATTERY</t>
  </si>
  <si>
    <t>P063</t>
  </si>
  <si>
    <t>HI/WATT 9v BATTERY</t>
  </si>
  <si>
    <t>P064</t>
  </si>
  <si>
    <t>POWER PEAK 9v BATTERY</t>
  </si>
  <si>
    <t>P065</t>
  </si>
  <si>
    <t>RAYMAX AA BATTERY</t>
  </si>
  <si>
    <t>P066</t>
  </si>
  <si>
    <t>RAYMAX AAA BATTERY</t>
  </si>
  <si>
    <t>P067</t>
  </si>
  <si>
    <t>TIGER HEAD AA BATTERY</t>
  </si>
  <si>
    <t>P068</t>
  </si>
  <si>
    <t>TIGER AAA BATTERY</t>
  </si>
  <si>
    <t>P069</t>
  </si>
  <si>
    <t>PANASONIC AA BATTERY</t>
  </si>
  <si>
    <t>P070</t>
  </si>
  <si>
    <t>3.7V LITHIUM SINGLE BATTERY</t>
  </si>
  <si>
    <t>P071</t>
  </si>
  <si>
    <t>3.7V LITHIUM DOUBLE BATTERY</t>
  </si>
  <si>
    <t>P072</t>
  </si>
  <si>
    <t>3.7V LITHIUM 6 IN 1 BATTERY</t>
  </si>
  <si>
    <t>P073</t>
  </si>
  <si>
    <t>7.4V LITHIUM DOUBLE BATTERY</t>
  </si>
  <si>
    <t>P074</t>
  </si>
  <si>
    <t>7.4V LITHIUM 3 IN 1</t>
  </si>
  <si>
    <t>P075</t>
  </si>
  <si>
    <t>7.4V LITHIUM 6 IN 1</t>
  </si>
  <si>
    <t>P076</t>
  </si>
  <si>
    <t>11.1  LITHIUM 6 IN 1</t>
  </si>
  <si>
    <t>P077</t>
  </si>
  <si>
    <t>12.2V LITHIUM 6 IN 1</t>
  </si>
  <si>
    <t>P078</t>
  </si>
  <si>
    <t>UBEC 6V 5AH</t>
  </si>
  <si>
    <t>P079</t>
  </si>
  <si>
    <t>UBEC 12V 7AH</t>
  </si>
  <si>
    <t>P080</t>
  </si>
  <si>
    <t>UBEC 12V 9AH</t>
  </si>
  <si>
    <t>P081</t>
  </si>
  <si>
    <t>SUNCA 6V 4.5 AH</t>
  </si>
  <si>
    <t>P082</t>
  </si>
  <si>
    <t>SUNCA (Bright flame) 12V 9AH</t>
  </si>
  <si>
    <t>P083</t>
  </si>
  <si>
    <t>WEI SHENG 12V 7AH</t>
  </si>
  <si>
    <t>P084</t>
  </si>
  <si>
    <t>WEI SHENG 12V 5AH</t>
  </si>
  <si>
    <t>P085</t>
  </si>
  <si>
    <t>UBEC 12V 5AH</t>
  </si>
  <si>
    <t>P086</t>
  </si>
  <si>
    <t>SONIK 12V 5AH</t>
  </si>
  <si>
    <t>P087</t>
  </si>
  <si>
    <t>SONIK 12V 7AH</t>
  </si>
  <si>
    <t>P088</t>
  </si>
  <si>
    <t>QASA 6V 5AH</t>
  </si>
  <si>
    <t>P089</t>
  </si>
  <si>
    <t>QASA 12V 5AH</t>
  </si>
  <si>
    <t>P090</t>
  </si>
  <si>
    <t>QASA 12V 7AH</t>
  </si>
  <si>
    <t>P091</t>
  </si>
  <si>
    <t>YI SHENG 4V 4.5AH BATTERY (SCALE)</t>
  </si>
  <si>
    <t>P092</t>
  </si>
  <si>
    <t>AVS 13 AMPS SURGE</t>
  </si>
  <si>
    <t>SURGE</t>
  </si>
  <si>
    <t>P093</t>
  </si>
  <si>
    <t>AVS 15 AMPS SURGE</t>
  </si>
  <si>
    <t>P094</t>
  </si>
  <si>
    <t>AVS 20 AMPS SURGE</t>
  </si>
  <si>
    <t>P095</t>
  </si>
  <si>
    <t>AVS 30 AMPS SURGE</t>
  </si>
  <si>
    <t>P096</t>
  </si>
  <si>
    <t>TV-FRIDGE SURGE</t>
  </si>
  <si>
    <t>P097</t>
  </si>
  <si>
    <t>STONE-TECH DIGITAL SURGE</t>
  </si>
  <si>
    <t>P098</t>
  </si>
  <si>
    <t>STONE-TECH DIGITAL SURGE 13 AMPS SURGE</t>
  </si>
  <si>
    <t>P099</t>
  </si>
  <si>
    <t>STONE-TECH DIGITAL SURGE 20 AMPS SURGE</t>
  </si>
  <si>
    <t>P100</t>
  </si>
  <si>
    <t>VERO BOARD</t>
  </si>
  <si>
    <t>P101</t>
  </si>
  <si>
    <t>BREAD BOARD</t>
  </si>
  <si>
    <t>P102</t>
  </si>
  <si>
    <t>(BIG) GUM GUN</t>
  </si>
  <si>
    <t>P103</t>
  </si>
  <si>
    <t>(SMALL) GUM GUN</t>
  </si>
  <si>
    <t>P104</t>
  </si>
  <si>
    <t>GUN GUM (BIG)</t>
  </si>
  <si>
    <t>P105</t>
  </si>
  <si>
    <t>GUN GUM (SMALL)</t>
  </si>
  <si>
    <t>P106</t>
  </si>
  <si>
    <t>INDUSTRIAL BLENDER PLATE</t>
  </si>
  <si>
    <t>BLENDER</t>
  </si>
  <si>
    <t>P107</t>
  </si>
  <si>
    <t>INDUSTRIAL BLENDER SITTING</t>
  </si>
  <si>
    <t>P108</t>
  </si>
  <si>
    <t>INDUSTRIAL BLENDER NUB</t>
  </si>
  <si>
    <t>P109</t>
  </si>
  <si>
    <t>INDUSTRIAL BLENDR 6 TEETH</t>
  </si>
  <si>
    <t>P110</t>
  </si>
  <si>
    <t>INDUSTRIAL BLENDR 4 TEETH</t>
  </si>
  <si>
    <t>P111</t>
  </si>
  <si>
    <t>INDUSTRIAL BLENDR 8 TEETH</t>
  </si>
  <si>
    <t>P112</t>
  </si>
  <si>
    <t>INDUSTRIAL BLENDER COPPER COIL</t>
  </si>
  <si>
    <t>P113</t>
  </si>
  <si>
    <t>INDUSTRIAL BLENDER ORDINARY COIL</t>
  </si>
  <si>
    <t>P114</t>
  </si>
  <si>
    <t>YX-360TRer MULTIMETER (Small Analog)</t>
  </si>
  <si>
    <t>P115</t>
  </si>
  <si>
    <t>YX-360TR MULTIMETER (Medium Analog)</t>
  </si>
  <si>
    <t>P116</t>
  </si>
  <si>
    <t>YX-360 MULTIMETER (Big Analog)</t>
  </si>
  <si>
    <t>P117</t>
  </si>
  <si>
    <t>CLAMP MULTIMETER (Small)</t>
  </si>
  <si>
    <t>P118</t>
  </si>
  <si>
    <t>BROTHER MULTIMETER</t>
  </si>
  <si>
    <t>P119</t>
  </si>
  <si>
    <t>BESTON (AAA) CHARGER WITH BATTERY</t>
  </si>
  <si>
    <t>CHARGER</t>
  </si>
  <si>
    <t>P120</t>
  </si>
  <si>
    <t xml:space="preserve">BESTON (AAA) CHARGER </t>
  </si>
  <si>
    <t>P121</t>
  </si>
  <si>
    <t>JIABOA BATTERY (AAA) CHARGER WITH BATTERY</t>
  </si>
  <si>
    <t>P122</t>
  </si>
  <si>
    <t>LITHIUM SINGLE BATTERY CHARGER</t>
  </si>
  <si>
    <t>P123</t>
  </si>
  <si>
    <t>LITHIUM 2 IN 1 BATTERY CHARGER</t>
  </si>
  <si>
    <t>P124</t>
  </si>
  <si>
    <t>LITHIUM 4 IN 1 BATTERY CHARGER</t>
  </si>
  <si>
    <t>P125</t>
  </si>
  <si>
    <t>LITHIUM 8 IN 1 BATTERY CHARGER</t>
  </si>
  <si>
    <t>P126</t>
  </si>
  <si>
    <t>USB EXTENTION (8 PORT )</t>
  </si>
  <si>
    <t>EXTENTION</t>
  </si>
  <si>
    <t>P127</t>
  </si>
  <si>
    <t>USB EXTENTION (5 PORT)</t>
  </si>
  <si>
    <t>P128</t>
  </si>
  <si>
    <t>JACK TO JACK 5 EXTENSION</t>
  </si>
  <si>
    <t>P129</t>
  </si>
  <si>
    <t>JACK AND KANU 6 WAY EXTENSION</t>
  </si>
  <si>
    <t>P130</t>
  </si>
  <si>
    <t>JACK AND KANU 8 WAY EXTENSION</t>
  </si>
  <si>
    <t>P131</t>
  </si>
  <si>
    <t>BNK MAX 1800 WIRE MIC</t>
  </si>
  <si>
    <t>MICROPHONE</t>
  </si>
  <si>
    <t>P132</t>
  </si>
  <si>
    <t>BNK MAX 1900 WIRE MIC</t>
  </si>
  <si>
    <t>P133</t>
  </si>
  <si>
    <t>BNK G 20 WIRE MIC</t>
  </si>
  <si>
    <t>P134</t>
  </si>
  <si>
    <t>BNK G 13 WIRE MIC</t>
  </si>
  <si>
    <t>P135</t>
  </si>
  <si>
    <t>BNK G 9 WIRE MIC</t>
  </si>
  <si>
    <t>P136</t>
  </si>
  <si>
    <t>SONY WIRE MIC</t>
  </si>
  <si>
    <t>P137</t>
  </si>
  <si>
    <t>SONY WIRE MIC SY 60</t>
  </si>
  <si>
    <t>P138</t>
  </si>
  <si>
    <t>SONY WIRELESS MIC TTD-M12</t>
  </si>
  <si>
    <t>P139</t>
  </si>
  <si>
    <t>WASHING MACHINE COIL (Wash) Tiny Thread</t>
  </si>
  <si>
    <t>WASHING MACHINE</t>
  </si>
  <si>
    <t>P140</t>
  </si>
  <si>
    <t>WASHING MACHINE COIL (Spin) Tiny Thread</t>
  </si>
  <si>
    <t>P141</t>
  </si>
  <si>
    <t>WASHING MACHINE HOSE</t>
  </si>
  <si>
    <t>P142</t>
  </si>
  <si>
    <t>DESIPEN SPEAKON</t>
  </si>
  <si>
    <t>CONNECTOR</t>
  </si>
  <si>
    <t>P143</t>
  </si>
  <si>
    <t>AMPHENOL BIG SPEAKON</t>
  </si>
  <si>
    <t>P144</t>
  </si>
  <si>
    <t>IRON MOUTH SPEAKON</t>
  </si>
  <si>
    <t>P145</t>
  </si>
  <si>
    <t>DESIPEN SPEAKON SPEAKON</t>
  </si>
  <si>
    <t>P146</t>
  </si>
  <si>
    <t>AMPHENOL JACK PLUG</t>
  </si>
  <si>
    <t>P147</t>
  </si>
  <si>
    <t>AMPHENOL JACK PLUG (Red)</t>
  </si>
  <si>
    <t>P148</t>
  </si>
  <si>
    <t>AMPHENOL JACK PLUG ( Black)</t>
  </si>
  <si>
    <t>P149</t>
  </si>
  <si>
    <t>F CONNECTORS</t>
  </si>
  <si>
    <t>P150</t>
  </si>
  <si>
    <t>MALE CONNECTORS</t>
  </si>
  <si>
    <t>P151</t>
  </si>
  <si>
    <t>BNC HEAD PLUG CONNECTORS</t>
  </si>
  <si>
    <t>P152</t>
  </si>
  <si>
    <t>500W (Sachet) INVERTER</t>
  </si>
  <si>
    <t>INVERTER</t>
  </si>
  <si>
    <t>P153</t>
  </si>
  <si>
    <t>1000W (Sachet) INVERTER</t>
  </si>
  <si>
    <t>P154</t>
  </si>
  <si>
    <t>1500W (Sachet) INVERTER</t>
  </si>
  <si>
    <t>P155</t>
  </si>
  <si>
    <t>2000W (Sachet) INVERTER</t>
  </si>
  <si>
    <t>P156</t>
  </si>
  <si>
    <t>3000W (Sachet) INVERTER</t>
  </si>
  <si>
    <t>P157</t>
  </si>
  <si>
    <t>4000W (Sachet) INVERTER</t>
  </si>
  <si>
    <t>P158</t>
  </si>
  <si>
    <t>6000W (Sachet) INVERTER</t>
  </si>
  <si>
    <t>P159</t>
  </si>
  <si>
    <t>CIGAR CHARGER MALE MOUTH TO CROCK'S CLIP</t>
  </si>
  <si>
    <t>CONNECTORS</t>
  </si>
  <si>
    <t>P160</t>
  </si>
  <si>
    <t>CIGAR CHARGER FEMALE MOUTH TO CROCK'S CLIP</t>
  </si>
  <si>
    <t>P161</t>
  </si>
  <si>
    <t>LAZZY MICROPHONE WIRE 100M</t>
  </si>
  <si>
    <t>P162</t>
  </si>
  <si>
    <t>LAZZY MICROPHONE WIRE 200M</t>
  </si>
  <si>
    <t>P163</t>
  </si>
  <si>
    <t>HDMI TO AV CONVERTER</t>
  </si>
  <si>
    <t>CONVERTER</t>
  </si>
  <si>
    <t>P164</t>
  </si>
  <si>
    <t>AV TO HDMI CONVERTER</t>
  </si>
  <si>
    <t>P165</t>
  </si>
  <si>
    <t>VGA TO AV CONVERTER</t>
  </si>
  <si>
    <t>P166</t>
  </si>
  <si>
    <t>AV TO VGA CONVERTER</t>
  </si>
  <si>
    <t>P167</t>
  </si>
  <si>
    <t>HDMI TO VGA CONVERTER</t>
  </si>
  <si>
    <t>P168</t>
  </si>
  <si>
    <t>VGA TO HDMI CONVERTER</t>
  </si>
  <si>
    <t>P169</t>
  </si>
  <si>
    <t>SILVER CREST (Small) BLENDER CUP</t>
  </si>
  <si>
    <t>P170</t>
  </si>
  <si>
    <t>SILVER CREST (Big) BLENDER CUP</t>
  </si>
  <si>
    <t>P171</t>
  </si>
  <si>
    <t>LAMP HOLDER</t>
  </si>
  <si>
    <t>P172</t>
  </si>
  <si>
    <t>ANGLED LAMP HOLDER</t>
  </si>
  <si>
    <t>P173</t>
  </si>
  <si>
    <t>DROPPING LAMP HOLDER</t>
  </si>
  <si>
    <t>P174</t>
  </si>
  <si>
    <t>10 WATT AKT  BULB</t>
  </si>
  <si>
    <t>P175</t>
  </si>
  <si>
    <t>15 WATT AKT BULB</t>
  </si>
  <si>
    <t>P176</t>
  </si>
  <si>
    <t>20 WATT AKT BULB</t>
  </si>
  <si>
    <t>P177</t>
  </si>
  <si>
    <t>20 WATT AKT RECHARGEABLE BULB</t>
  </si>
  <si>
    <t>P178</t>
  </si>
  <si>
    <t>HDMI (Big) 4 WAY SPLITTER</t>
  </si>
  <si>
    <t>SPLITTER</t>
  </si>
  <si>
    <t>P179</t>
  </si>
  <si>
    <t>HDMI (Small) 4 WAY SPLITTER</t>
  </si>
  <si>
    <t>P180</t>
  </si>
  <si>
    <t>HDMI (Big) 2 WAY SPLITTER</t>
  </si>
  <si>
    <t>P181</t>
  </si>
  <si>
    <t>HDMI (Small) 2 WAY SPLITTER</t>
  </si>
  <si>
    <t>P182</t>
  </si>
  <si>
    <t>HDMI 4K SPLITTER 4 WAY</t>
  </si>
  <si>
    <t>P183</t>
  </si>
  <si>
    <t>HDMI 4K SPLITTER 8 WAY</t>
  </si>
  <si>
    <t>P184</t>
  </si>
  <si>
    <t>HDMI (Big) 8 WAY SPLITTER</t>
  </si>
  <si>
    <t>P185</t>
  </si>
  <si>
    <t>4 WAY AV SPLITTER</t>
  </si>
  <si>
    <t>P186</t>
  </si>
  <si>
    <t>8 WAY AV  SPLITTER</t>
  </si>
  <si>
    <t>P187</t>
  </si>
  <si>
    <t>16 WAY AV SPLITTER</t>
  </si>
  <si>
    <t>P188</t>
  </si>
  <si>
    <t>24 WAY AV SPLITTER</t>
  </si>
  <si>
    <t>P189</t>
  </si>
  <si>
    <t>BUTTON AV SELECTOR</t>
  </si>
  <si>
    <t>SELECTOR</t>
  </si>
  <si>
    <t>P190</t>
  </si>
  <si>
    <t>AV SELECTOR WITH REMOTE</t>
  </si>
  <si>
    <t>P191</t>
  </si>
  <si>
    <t>CLIPPER CHARGER</t>
  </si>
  <si>
    <t>ACCESSORIE</t>
  </si>
  <si>
    <t>P192</t>
  </si>
  <si>
    <t>USB TO ANDRIOD (micro) CORD</t>
  </si>
  <si>
    <t>P193</t>
  </si>
  <si>
    <t>USB TO TYPE C  CORD</t>
  </si>
  <si>
    <t>P194</t>
  </si>
  <si>
    <t>USB TO IPHONE (lightning) CORD</t>
  </si>
  <si>
    <t>P195</t>
  </si>
  <si>
    <t xml:space="preserve">USB TO MINI CORD </t>
  </si>
  <si>
    <t>P196</t>
  </si>
  <si>
    <t>USB TO CLIPPER CHARGER</t>
  </si>
  <si>
    <t>P197</t>
  </si>
  <si>
    <t>DRUM PEDAL (Big)</t>
  </si>
  <si>
    <t>INSTRUMENTAL</t>
  </si>
  <si>
    <t>P198</t>
  </si>
  <si>
    <t>DRUM PEDAL (Small)</t>
  </si>
  <si>
    <t>P199</t>
  </si>
  <si>
    <t>BASS DRUM VENOM COVER (Ordinary)</t>
  </si>
  <si>
    <t>P200</t>
  </si>
  <si>
    <t>BASS DRUM VENOM COVER (Chemical)</t>
  </si>
  <si>
    <t>P201</t>
  </si>
  <si>
    <t>14" VENOM (Ordinary)</t>
  </si>
  <si>
    <t>P202</t>
  </si>
  <si>
    <t>14" VENOM (Chemical)</t>
  </si>
  <si>
    <t>P203</t>
  </si>
  <si>
    <t>13" VENOM (Ordinary)</t>
  </si>
  <si>
    <t>P204</t>
  </si>
  <si>
    <t>13" VENOM (Chemical)</t>
  </si>
  <si>
    <t>P205</t>
  </si>
  <si>
    <t>12" VENOM (Ordinary)</t>
  </si>
  <si>
    <t>P206</t>
  </si>
  <si>
    <t>12" VENOM (Chemical)</t>
  </si>
  <si>
    <t>P207</t>
  </si>
  <si>
    <t>16" VENOM (Ordinary)</t>
  </si>
  <si>
    <t>P208</t>
  </si>
  <si>
    <t>16" VENOM (Chemical)</t>
  </si>
  <si>
    <t>P209</t>
  </si>
  <si>
    <t>22" VENOM (Ordinary)</t>
  </si>
  <si>
    <t>P210</t>
  </si>
  <si>
    <t>22" VENOM (Chemical)</t>
  </si>
  <si>
    <t>P211</t>
  </si>
  <si>
    <t>DRUM STICK 7A</t>
  </si>
  <si>
    <t>P212</t>
  </si>
  <si>
    <t>DRUM STICK 5A</t>
  </si>
  <si>
    <t>P213</t>
  </si>
  <si>
    <t>DRUM STICK 5B</t>
  </si>
  <si>
    <t>P214</t>
  </si>
  <si>
    <t>DRUM STICK 2B</t>
  </si>
  <si>
    <t>P215</t>
  </si>
  <si>
    <t>RUBBER DRUM STICK</t>
  </si>
  <si>
    <t>P216</t>
  </si>
  <si>
    <t>ZENER DIODE</t>
  </si>
  <si>
    <t>COMPONENT</t>
  </si>
  <si>
    <t>P217</t>
  </si>
  <si>
    <t>LIGHT DIODE</t>
  </si>
  <si>
    <t>P218</t>
  </si>
  <si>
    <t>PHOTO DIODE</t>
  </si>
  <si>
    <t>P219</t>
  </si>
  <si>
    <t>RELAY</t>
  </si>
  <si>
    <t>P220</t>
  </si>
  <si>
    <t>JBL VM-150 WIRELES MIC</t>
  </si>
  <si>
    <t>P221</t>
  </si>
  <si>
    <t>JBL WIRELESS MICROPHONE Urx9900</t>
  </si>
  <si>
    <t>P222</t>
  </si>
  <si>
    <t>JBL WIRED MICROPHONE 68S</t>
  </si>
  <si>
    <t>P223</t>
  </si>
  <si>
    <t>SURE WIRED 6.3</t>
  </si>
  <si>
    <t>P224</t>
  </si>
  <si>
    <t>SOLDERING IRON 60W</t>
  </si>
  <si>
    <t>P225</t>
  </si>
  <si>
    <t>SOLDERING IRON 30W</t>
  </si>
  <si>
    <t>P226</t>
  </si>
  <si>
    <t>SOLDERING IRON STATION</t>
  </si>
  <si>
    <t>P227</t>
  </si>
  <si>
    <t>GAS SOLDERING IRON</t>
  </si>
  <si>
    <t>P228</t>
  </si>
  <si>
    <t>GAS REFILL FOR LIGHTER</t>
  </si>
  <si>
    <t>P229</t>
  </si>
  <si>
    <t>KETTLE ELEMENT</t>
  </si>
  <si>
    <t>KETTLE</t>
  </si>
  <si>
    <t>P230</t>
  </si>
  <si>
    <t>KETTLE THEMOSTAR</t>
  </si>
  <si>
    <t>P231</t>
  </si>
  <si>
    <t>JUG ELEMENT</t>
  </si>
  <si>
    <t>P232</t>
  </si>
  <si>
    <t>JUG THEMOSTAR</t>
  </si>
  <si>
    <t>P233</t>
  </si>
  <si>
    <t>CAPACITOR 2.5UF (White)</t>
  </si>
  <si>
    <t>P234</t>
  </si>
  <si>
    <t>CAPACITOR 3.5UF (White)</t>
  </si>
  <si>
    <t>P235</t>
  </si>
  <si>
    <t>CAPACITOR 6UF (White)</t>
  </si>
  <si>
    <t>P236</t>
  </si>
  <si>
    <t>CAPACITOR 10UF (White)</t>
  </si>
  <si>
    <t>P237</t>
  </si>
  <si>
    <t>CAPACITOR 12UF (White)</t>
  </si>
  <si>
    <t>P238</t>
  </si>
  <si>
    <t>CAPACITOR 20UF (White)</t>
  </si>
  <si>
    <t>P239</t>
  </si>
  <si>
    <t>CAPACITOR 30UF (White)</t>
  </si>
  <si>
    <t>P240</t>
  </si>
  <si>
    <t>CAPACITOR 45UF (White)</t>
  </si>
  <si>
    <t>P241</t>
  </si>
  <si>
    <t>CAPACITOR 60UF (White)</t>
  </si>
  <si>
    <t>P242</t>
  </si>
  <si>
    <t>CAPACITOR 80UF (White)</t>
  </si>
  <si>
    <t>P243</t>
  </si>
  <si>
    <t>CAPACITOR 100UF (White)</t>
  </si>
  <si>
    <t>P244</t>
  </si>
  <si>
    <t>FAN CAPACITOR 2.5uf</t>
  </si>
  <si>
    <t>P245</t>
  </si>
  <si>
    <t>FAN CAPACITOR 3uf</t>
  </si>
  <si>
    <t>P246</t>
  </si>
  <si>
    <t>FAN CAPACITOR 3.5uf</t>
  </si>
  <si>
    <t>P247</t>
  </si>
  <si>
    <t>FAN CAPACITOR 4.75uf</t>
  </si>
  <si>
    <t>P248</t>
  </si>
  <si>
    <t>FAN CAPACITOR 1.5uf</t>
  </si>
  <si>
    <t>P249</t>
  </si>
  <si>
    <t>FAN CAPACITOR 5uf</t>
  </si>
  <si>
    <t>P250</t>
  </si>
  <si>
    <t>TOOGLE SWITCH</t>
  </si>
  <si>
    <t>SWITCH</t>
  </si>
  <si>
    <t>P251</t>
  </si>
  <si>
    <t>S.P.D.T SWITCH</t>
  </si>
  <si>
    <t>P252</t>
  </si>
  <si>
    <t>PUSH SWITCH</t>
  </si>
  <si>
    <t>P253</t>
  </si>
  <si>
    <t>ROTARY SWITCH</t>
  </si>
  <si>
    <t>P254</t>
  </si>
  <si>
    <t>TACTILE BUTTON SWITCH</t>
  </si>
  <si>
    <t>P255</t>
  </si>
  <si>
    <t>LG REMOTE</t>
  </si>
  <si>
    <t>REMOTE</t>
  </si>
  <si>
    <t>P256</t>
  </si>
  <si>
    <t>LG SMART TV REMOTE</t>
  </si>
  <si>
    <t>P257</t>
  </si>
  <si>
    <t xml:space="preserve">SAMSUNG REMOTE </t>
  </si>
  <si>
    <t>P258</t>
  </si>
  <si>
    <t>SAMSUNG SMART REMOTE</t>
  </si>
  <si>
    <t>P259</t>
  </si>
  <si>
    <t>HISENSE TV REMOTE</t>
  </si>
  <si>
    <t>P260</t>
  </si>
  <si>
    <t>HISENSE TV SMART REMOTE</t>
  </si>
  <si>
    <t>P261</t>
  </si>
  <si>
    <t xml:space="preserve">GOTV REMOTE </t>
  </si>
  <si>
    <t>P262</t>
  </si>
  <si>
    <t>DSTV REMOTE</t>
  </si>
  <si>
    <t>P263</t>
  </si>
  <si>
    <t>VOICE COIL  75m</t>
  </si>
  <si>
    <t>COIL</t>
  </si>
  <si>
    <t>P264</t>
  </si>
  <si>
    <t>VOICE COIL  80m</t>
  </si>
  <si>
    <t>P265</t>
  </si>
  <si>
    <t>VOICE COIL  60m</t>
  </si>
  <si>
    <t>P266</t>
  </si>
  <si>
    <t>VOICE COIL  105m</t>
  </si>
  <si>
    <t>P267</t>
  </si>
  <si>
    <t>60w AHUJA HORN SPEAKER</t>
  </si>
  <si>
    <t>SPEAKER</t>
  </si>
  <si>
    <t>P268</t>
  </si>
  <si>
    <t>AHUJA SUH-40</t>
  </si>
  <si>
    <t>P269</t>
  </si>
  <si>
    <t>AHUJA SUH-25</t>
  </si>
  <si>
    <t>P270</t>
  </si>
  <si>
    <t>AHUJA SUH-10</t>
  </si>
  <si>
    <t>INVOICE No.</t>
  </si>
  <si>
    <t>PRODUCT ID</t>
  </si>
  <si>
    <t>COGS</t>
  </si>
  <si>
    <t>TOTAL PROFIT</t>
  </si>
  <si>
    <t>Sum of REVENUE</t>
  </si>
  <si>
    <t>Sum of TOTAL PROFIT</t>
  </si>
  <si>
    <t>Sum of QUANTITY SOLD</t>
  </si>
  <si>
    <t>Grand Total</t>
  </si>
  <si>
    <t>Count of QUANTITY SOLD</t>
  </si>
  <si>
    <t>May</t>
  </si>
  <si>
    <t>Jun</t>
  </si>
  <si>
    <t>Jul</t>
  </si>
  <si>
    <t>Aug</t>
  </si>
  <si>
    <t>Average of REVENUE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</si>
</sst>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&gt;=1000000]\ &quot;₦&quot;\ ##,##0.00,,&quot;M&quot;;[&gt;=1000]\]\ &quot;₦&quot;\ #.00,\ &quot;K&quot;;\ &quot;₦&quot;\ ###.00"/>
    <numFmt numFmtId="179" formatCode="[&gt;=1000000]\ &quot;₦&quot;\ ##,##0.00,,&quot;M&quot;;[&gt;=1000]\ &quot;₦&quot;\ #.00,\ &quot;K&quot;;\ &quot;₦&quot;\ ###.00"/>
    <numFmt numFmtId="180" formatCode="0_);\(0\)"/>
    <numFmt numFmtId="181" formatCode="[$₦-466]#,##0_);[Red]\([$₦-466]#,##0\)"/>
    <numFmt numFmtId="182" formatCode="[$-409]d\-mmm\-yyyy;@"/>
    <numFmt numFmtId="183" formatCode="[$₦-466]\ #,##0"/>
  </numFmts>
  <fonts count="21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3">
    <xf numFmtId="0" fontId="0" fillId="0" borderId="0" xfId="0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37" fontId="0" fillId="0" borderId="0" xfId="0" applyNumberFormat="1"/>
    <xf numFmtId="3" fontId="0" fillId="0" borderId="0" xfId="0" applyNumberFormat="1"/>
    <xf numFmtId="181" fontId="0" fillId="0" borderId="0" xfId="0" applyNumberFormat="1"/>
    <xf numFmtId="0" fontId="0" fillId="0" borderId="0" xfId="0" applyNumberFormat="1" applyAlignment="1">
      <alignment horizontal="center"/>
    </xf>
    <xf numFmtId="182" fontId="0" fillId="0" borderId="0" xfId="0" applyNumberFormat="1"/>
    <xf numFmtId="0" fontId="1" fillId="2" borderId="0" xfId="0" applyFont="1" applyFill="1"/>
    <xf numFmtId="183" fontId="0" fillId="0" borderId="0" xfId="0" applyNumberFormat="1"/>
    <xf numFmtId="0" fontId="0" fillId="0" borderId="0" xfId="0" applyNumberFormat="1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1">
    <dxf>
      <numFmt numFmtId="0" formatCode="General"/>
      <alignment horizontal="center"/>
    </dxf>
    <dxf>
      <numFmt numFmtId="182" formatCode="[$-409]d\-mmm\-yyyy;@"/>
    </dxf>
    <dxf>
      <numFmt numFmtId="181" formatCode="[$₦-466]#,##0_);[Red]\([$₦-466]#,##0\)"/>
    </dxf>
    <dxf>
      <numFmt numFmtId="181" formatCode="[$₦-466]#,##0_);[Red]\([$₦-466]#,##0\)"/>
    </dxf>
    <dxf>
      <numFmt numFmtId="181" formatCode="[$₦-466]#,##0_);[Red]\([$₦-466]#,##0\)"/>
    </dxf>
    <dxf>
      <numFmt numFmtId="181" formatCode="[$₦-466]#,##0_);[Red]\([$₦-466]#,##0\)"/>
    </dxf>
    <dxf>
      <numFmt numFmtId="181" formatCode="[$₦-466]#,##0_);[Red]\([$₦-466]#,##0\)"/>
    </dxf>
    <dxf>
      <font>
        <name val="Calibri Light"/>
        <scheme val="none"/>
        <b val="1"/>
        <i val="0"/>
        <u val="none"/>
        <sz val="14"/>
        <color theme="7" tint="-0.25"/>
      </font>
      <fill>
        <patternFill patternType="solid">
          <bgColor theme="0" tint="-0.35"/>
        </patternFill>
      </fill>
    </dxf>
    <dxf>
      <font>
        <name val="Calibri Light"/>
        <scheme val="none"/>
        <b val="1"/>
        <i val="0"/>
        <u val="none"/>
        <sz val="9"/>
        <color theme="2" tint="-0.5"/>
      </font>
      <fill>
        <gradientFill type="path" left="0.5" right="0.5" top="0.5" bottom="0.5">
          <stop position="0">
            <color theme="0"/>
          </stop>
          <stop position="1">
            <color theme="0" tint="-0.35"/>
          </stop>
        </gradientFill>
      </fill>
    </dxf>
    <dxf>
      <font>
        <name val="Calibri Light"/>
        <scheme val="none"/>
        <b val="0"/>
        <i val="0"/>
        <strike val="0"/>
        <u val="none"/>
        <sz val="12"/>
        <color theme="1"/>
      </font>
      <fill>
        <patternFill patternType="solid">
          <bgColor rgb="FFED9249"/>
        </patternFill>
      </fill>
    </dxf>
    <dxf>
      <font>
        <name val="Calibri"/>
        <scheme val="none"/>
        <b val="0"/>
        <i val="0"/>
        <u val="none"/>
        <sz val="16"/>
        <color auto="1"/>
      </font>
      <fill>
        <patternFill patternType="solid">
          <bgColor rgb="FFED9249"/>
        </patternFill>
      </fill>
    </dxf>
  </dxfs>
  <tableStyles count="2" defaultTableStyle="TableStyleMedium2" defaultPivotStyle="PivotStyleMedium9">
    <tableStyle name="Slicer Style 2" pivot="0" table="0" count="6" xr9:uid="{ED797D09-039E-4380-90B2-F019841F7FB4}">
      <tableStyleElement type="wholeTable" dxfId="8"/>
      <tableStyleElement type="headerRow" dxfId="7"/>
    </tableStyle>
    <tableStyle name="Slicer 44" pivot="0" table="0" count="6" xr9:uid="{89AD42F3-E172-4302-A291-10E570AC4606}">
      <tableStyleElement type="wholeTable" dxfId="10"/>
      <tableStyleElement type="headerRow" dxfId="9"/>
    </tableStyle>
  </tableStyles>
  <colors>
    <mruColors>
      <color rgb="00BFB79D"/>
      <color rgb="00DCBF7A"/>
      <color rgb="00F4D77F"/>
      <color rgb="00DCA600"/>
      <color rgb="00CAA536"/>
      <color rgb="00D0975A"/>
      <color rgb="00ED9249"/>
    </mruColors>
  </colors>
  <extLst>
    <ext xmlns:x14="http://schemas.microsoft.com/office/spreadsheetml/2009/9/main" uri="{46F421CA-312F-682f-3DD2-61675219B42D}">
      <x14:dxfs count="8">
        <dxf>
          <font>
            <name val="Calibri Light"/>
            <scheme val="none"/>
            <b val="0"/>
            <i val="0"/>
            <u val="none"/>
            <sz val="11"/>
            <color theme="7" tint="-0.25"/>
          </font>
          <fill>
            <patternFill patternType="solid">
              <bgColor theme="0" tint="-0.35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name val="Calibri"/>
            <scheme val="none"/>
            <b val="0"/>
            <i val="0"/>
            <u val="none"/>
            <sz val="11"/>
            <color theme="7" tint="-0.25"/>
          </font>
          <fill>
            <patternFill patternType="solid">
              <bgColor theme="0" tint="-0.35"/>
            </patternFill>
          </fill>
        </dxf>
        <dxf>
          <font>
            <name val="Calibri Light"/>
            <scheme val="none"/>
            <b val="0"/>
            <i val="0"/>
            <u val="single"/>
            <sz val="11"/>
            <color theme="7" tint="-0.25"/>
          </font>
          <fill>
            <patternFill patternType="solid">
              <bgColor theme="0" tint="-0.35"/>
            </patternFill>
          </fill>
          <border>
            <left style="medium">
              <color theme="7" tint="-0.25"/>
            </left>
            <right style="medium">
              <color theme="7" tint="-0.25"/>
            </right>
            <top style="medium">
              <color theme="7" tint="-0.25"/>
            </top>
            <bottom style="medium">
              <color theme="7" tint="-0.25"/>
            </bottom>
          </border>
        </dxf>
        <dxf>
          <font>
            <name val="Calibri Light"/>
            <scheme val="none"/>
            <b val="0"/>
            <i val="0"/>
            <u val="none"/>
            <sz val="11"/>
            <color theme="2" tint="-0.5"/>
          </font>
          <fill>
            <gradientFill degree="90">
              <stop position="0">
                <color theme="0"/>
              </stop>
              <stop position="1">
                <color theme="7" tint="-0.25"/>
              </stop>
            </gradientFill>
          </fill>
        </dxf>
        <dxf>
          <font>
            <name val="Calibri"/>
            <scheme val="none"/>
            <b val="0"/>
            <i val="0"/>
            <u val="none"/>
            <sz val="11"/>
            <color theme="5" tint="-0.5"/>
          </font>
          <fill>
            <patternFill patternType="solid">
              <bgColor theme="0" tint="-0.05"/>
            </patternFill>
          </fill>
        </dxf>
        <dxf>
          <font>
            <name val="Calibri"/>
            <scheme val="none"/>
            <b val="0"/>
            <i val="0"/>
            <u val="none"/>
            <sz val="11"/>
            <color theme="5" tint="-0.5"/>
          </font>
          <fill>
            <patternFill patternType="solid">
              <bgColor theme="0" tint="-0.05"/>
            </patternFill>
          </fill>
        </dxf>
        <dxf>
          <font>
            <name val="Calibri"/>
            <scheme val="none"/>
            <b val="0"/>
            <i val="0"/>
            <strike val="0"/>
            <u val="none"/>
            <sz val="11"/>
            <color theme="0" tint="-0.15"/>
          </font>
          <fill>
            <patternFill patternType="solid">
              <bgColor theme="5" tint="-0.5"/>
            </patternFill>
          </fill>
        </dxf>
        <dxf>
          <font>
            <name val="Calibri"/>
            <scheme val="none"/>
            <b val="0"/>
            <i val="0"/>
            <u val="none"/>
            <sz val="11"/>
            <color theme="1"/>
          </font>
          <fill>
            <patternFill patternType="solid">
              <bgColor theme="0" tint="-0.25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2">
          <x14:slicerStyleElements>
            <x14:slicerStyleElement type="unselectedItemWithData" dxfId="3"/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  <x14:slicerStyle name="Slicer 44">
          <x14:slicerStyleElements>
            <x14:slicerStyleElement type="unselectedItemWithData" dxfId="7"/>
            <x14:slicerStyleElement type="selectedItemWithData" dxfId="6"/>
            <x14:slicerStyleElement type="hoveredUnselectedItemWithData" dxfId="5"/>
            <x14:slicerStyleElement type="hoveredSelectedItemWithData" dxfId="4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microsoft.com/office/2007/relationships/slicerCache" Target="slicerCaches/slicerCache4.xml"/><Relationship Id="rId10" Type="http://schemas.microsoft.com/office/2007/relationships/slicerCache" Target="slicerCaches/slicerCache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1.xlsx]PIVOT TABLE!MONTHLY PERFORMANCE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680" b="1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  <a:r>
              <a:rPr sz="2200" u="none" strike="noStrike" cap="none" normalizeH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</a:rPr>
              <a:t>MONTHLY PEFORMANCE</a:t>
            </a:r>
            <a:endParaRPr sz="2200" u="none" strike="noStrike" cap="none" normalizeH="0">
              <a:solidFill>
                <a:schemeClr val="accent2">
                  <a:lumMod val="50000"/>
                </a:schemeClr>
              </a:solidFill>
              <a:uFill>
                <a:solidFill>
                  <a:schemeClr val="accent2">
                    <a:lumMod val="50000"/>
                  </a:schemeClr>
                </a:solidFill>
              </a:uFill>
            </a:endParaRPr>
          </a:p>
        </c:rich>
      </c:tx>
      <c:layout>
        <c:manualLayout>
          <c:xMode val="edge"/>
          <c:yMode val="edge"/>
          <c:x val="0.30800156128025"/>
          <c:y val="0.061866299334537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TABLE'!$F$22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0.00292740046838408"/>
                  <c:y val="-0.137480666781234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GB" sz="1400" b="0" i="0" u="none" strike="noStrike" kern="1200" cap="none" spc="0" normalizeH="0" baseline="0">
                        <a:solidFill>
                          <a:schemeClr val="accent2">
                            <a:lumMod val="50000"/>
                          </a:schemeClr>
                        </a:solidFill>
                        <a:uFill>
                          <a:solidFill>
                            <a:schemeClr val="accent2">
                              <a:lumMod val="50000"/>
                            </a:schemeClr>
                          </a:solidFill>
                        </a:uFill>
                        <a:latin typeface="+mn-lt"/>
                        <a:ea typeface="+mn-ea"/>
                        <a:cs typeface="+mn-cs"/>
                      </a:defRPr>
                    </a:pPr>
                    <a:r>
                      <a:rPr sz="1400" u="none" strike="noStrike" cap="none" normalizeH="0">
                        <a:solidFill>
                          <a:schemeClr val="accent2">
                            <a:lumMod val="50000"/>
                          </a:schemeClr>
                        </a:solidFill>
                        <a:uFill>
                          <a:solidFill>
                            <a:schemeClr val="accent2">
                              <a:lumMod val="50000"/>
                            </a:schemeClr>
                          </a:solidFill>
                        </a:uFill>
                      </a:rPr>
                      <a:t> ₦ 4.59M</a:t>
                    </a:r>
                    <a:endParaRPr sz="1400" u="none" strike="noStrike" cap="none" normalizeH="0">
                      <a:solidFill>
                        <a:schemeClr val="accent2">
                          <a:lumMod val="50000"/>
                        </a:schemeClr>
                      </a:solidFill>
                      <a:uFill>
                        <a:solidFill>
                          <a:schemeClr val="accent2">
                            <a:lumMod val="50000"/>
                          </a:schemeClr>
                        </a:solidFill>
                      </a:uFill>
                    </a:endParaRP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0195160031225605"/>
                  <c:y val="-0.227702354356419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GB" sz="1400" b="0" i="0" u="none" strike="noStrike" kern="1200" cap="none" spc="0" normalizeH="0" baseline="0">
                        <a:solidFill>
                          <a:schemeClr val="accent2">
                            <a:lumMod val="50000"/>
                          </a:schemeClr>
                        </a:solidFill>
                        <a:uFill>
                          <a:solidFill>
                            <a:schemeClr val="accent2">
                              <a:lumMod val="50000"/>
                            </a:schemeClr>
                          </a:solidFill>
                        </a:uFill>
                        <a:latin typeface="+mn-lt"/>
                        <a:ea typeface="+mn-ea"/>
                        <a:cs typeface="+mn-cs"/>
                      </a:defRPr>
                    </a:pPr>
                    <a:r>
                      <a:rPr sz="1400" u="none" strike="noStrike" cap="none" normalizeH="0">
                        <a:solidFill>
                          <a:schemeClr val="accent2">
                            <a:lumMod val="50000"/>
                          </a:schemeClr>
                        </a:solidFill>
                        <a:uFill>
                          <a:solidFill>
                            <a:schemeClr val="accent2">
                              <a:lumMod val="50000"/>
                            </a:schemeClr>
                          </a:solidFill>
                        </a:uFill>
                      </a:rPr>
                      <a:t> ₦ 4.67M</a:t>
                    </a:r>
                    <a:endParaRPr sz="1400" u="none" strike="noStrike" cap="none" normalizeH="0">
                      <a:solidFill>
                        <a:schemeClr val="accent2">
                          <a:lumMod val="50000"/>
                        </a:schemeClr>
                      </a:solidFill>
                      <a:uFill>
                        <a:solidFill>
                          <a:schemeClr val="accent2">
                            <a:lumMod val="50000"/>
                          </a:schemeClr>
                        </a:solidFill>
                      </a:uFill>
                    </a:endParaRP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0975800156128025"/>
                  <c:y val="-0.0945179584120983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GB" sz="1400" b="0" i="0" u="none" strike="noStrike" kern="1200" cap="none" spc="0" normalizeH="0" baseline="0">
                        <a:solidFill>
                          <a:schemeClr val="accent2">
                            <a:lumMod val="50000"/>
                          </a:schemeClr>
                        </a:solidFill>
                        <a:uFill>
                          <a:solidFill>
                            <a:schemeClr val="accent2">
                              <a:lumMod val="50000"/>
                            </a:schemeClr>
                          </a:solidFill>
                        </a:uFill>
                        <a:latin typeface="+mn-lt"/>
                        <a:ea typeface="+mn-ea"/>
                        <a:cs typeface="+mn-cs"/>
                      </a:defRPr>
                    </a:pPr>
                    <a:r>
                      <a:rPr sz="1400" u="none" strike="noStrike" cap="none" normalizeH="0">
                        <a:solidFill>
                          <a:schemeClr val="accent2">
                            <a:lumMod val="50000"/>
                          </a:schemeClr>
                        </a:solidFill>
                        <a:uFill>
                          <a:solidFill>
                            <a:schemeClr val="accent2">
                              <a:lumMod val="50000"/>
                            </a:schemeClr>
                          </a:solidFill>
                        </a:uFill>
                      </a:rPr>
                      <a:t> ₦ 31.88M</a:t>
                    </a:r>
                    <a:endParaRPr sz="1400" u="none" strike="noStrike" cap="none" normalizeH="0">
                      <a:solidFill>
                        <a:schemeClr val="accent2">
                          <a:lumMod val="50000"/>
                        </a:schemeClr>
                      </a:solidFill>
                      <a:uFill>
                        <a:solidFill>
                          <a:schemeClr val="accent2">
                            <a:lumMod val="50000"/>
                          </a:schemeClr>
                        </a:solidFill>
                      </a:uFill>
                    </a:endParaRP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0975800156128025"/>
                  <c:y val="-0.103110500085925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GB" sz="1400" b="0" i="0" u="none" strike="noStrike" kern="1200" cap="none" spc="0" normalizeH="0" baseline="0">
                        <a:solidFill>
                          <a:schemeClr val="accent2">
                            <a:lumMod val="50000"/>
                          </a:schemeClr>
                        </a:solidFill>
                        <a:uFill>
                          <a:solidFill>
                            <a:schemeClr val="accent2">
                              <a:lumMod val="50000"/>
                            </a:schemeClr>
                          </a:solidFill>
                        </a:uFill>
                        <a:latin typeface="+mn-lt"/>
                        <a:ea typeface="+mn-ea"/>
                        <a:cs typeface="+mn-cs"/>
                      </a:defRPr>
                    </a:pPr>
                    <a:r>
                      <a:rPr sz="1400" u="none" strike="noStrike" cap="none" normalizeH="0">
                        <a:solidFill>
                          <a:schemeClr val="accent2">
                            <a:lumMod val="50000"/>
                          </a:schemeClr>
                        </a:solidFill>
                        <a:uFill>
                          <a:solidFill>
                            <a:schemeClr val="accent2">
                              <a:lumMod val="50000"/>
                            </a:schemeClr>
                          </a:solidFill>
                        </a:uFill>
                      </a:rPr>
                      <a:t> ₦ 35.63M</a:t>
                    </a:r>
                    <a:endParaRPr sz="1400" u="none" strike="noStrike" cap="none" normalizeH="0">
                      <a:solidFill>
                        <a:schemeClr val="accent2">
                          <a:lumMod val="50000"/>
                        </a:schemeClr>
                      </a:solidFill>
                      <a:uFill>
                        <a:solidFill>
                          <a:schemeClr val="accent2">
                            <a:lumMod val="50000"/>
                          </a:schemeClr>
                        </a:solidFill>
                      </a:uFill>
                    </a:endParaRP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400" b="0" i="0" u="none" strike="noStrike" kern="1200" cap="none" spc="0" normalizeH="0" baseline="0">
                    <a:solidFill>
                      <a:schemeClr val="accent2">
                        <a:lumMod val="50000"/>
                      </a:schemeClr>
                    </a:solidFill>
                    <a:uFill>
                      <a:solidFill>
                        <a:schemeClr val="accent2">
                          <a:lumMod val="50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TABLE'!$E$23:$E$27</c:f>
              <c:strCache>
                <c:ptCount val="4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</c:strCache>
            </c:strRef>
          </c:cat>
          <c:val>
            <c:numRef>
              <c:f>'PIVOT TABLE'!$F$23:$F$27</c:f>
              <c:numCache>
                <c:formatCode>[&gt;=1000000]\ "₦"\ ##,##0.00,,"M";[&gt;=1000]\ "₦"\ #.00,\ "K";\ "₦"\ ###.00</c:formatCode>
                <c:ptCount val="4"/>
                <c:pt idx="0">
                  <c:v>4590000</c:v>
                </c:pt>
                <c:pt idx="1">
                  <c:v>4666500</c:v>
                </c:pt>
                <c:pt idx="2">
                  <c:v>31884500</c:v>
                </c:pt>
                <c:pt idx="3">
                  <c:v>35632000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TABLE'!$G$22</c:f>
              <c:strCache>
                <c:ptCount val="1"/>
                <c:pt idx="0">
                  <c:v>Sum of TOTAL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50800" dist="25400" dir="5400000" algn="t" rotWithShape="0">
                <a:schemeClr val="accent2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0.0946526151444184"/>
                  <c:y val="-0.111703041759753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GB" sz="1400" b="0" i="0" u="none" strike="noStrike" kern="1200" cap="none" spc="0" normalizeH="0" baseline="0">
                        <a:solidFill>
                          <a:schemeClr val="bg1"/>
                        </a:solidFill>
                        <a:uFill>
                          <a:solidFill>
                            <a:schemeClr val="accent2">
                              <a:lumMod val="50000"/>
                            </a:schemeClr>
                          </a:solidFill>
                        </a:uFill>
                        <a:latin typeface="+mn-lt"/>
                        <a:ea typeface="+mn-ea"/>
                        <a:cs typeface="+mn-cs"/>
                      </a:defRPr>
                    </a:pPr>
                    <a:r>
                      <a:rPr sz="1400" u="none" strike="noStrike" cap="none" normalizeH="0">
                        <a:solidFill>
                          <a:schemeClr val="bg1"/>
                        </a:solidFill>
                        <a:uFill>
                          <a:solidFill>
                            <a:schemeClr val="accent2">
                              <a:lumMod val="50000"/>
                            </a:schemeClr>
                          </a:solidFill>
                        </a:uFill>
                      </a:rPr>
                      <a:t> ₦ 1.95M</a:t>
                    </a:r>
                    <a:endParaRPr sz="1400" u="none" strike="noStrike" cap="none" normalizeH="0">
                      <a:solidFill>
                        <a:schemeClr val="bg1"/>
                      </a:solidFill>
                      <a:uFill>
                        <a:solidFill>
                          <a:schemeClr val="accent2">
                            <a:lumMod val="50000"/>
                          </a:schemeClr>
                        </a:solidFill>
                      </a:uFill>
                    </a:endParaRP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917252146760344"/>
                  <c:y val="-0.322220312768517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GB" sz="1400" b="0" i="0" u="none" strike="noStrike" kern="1200" cap="none" spc="0" normalizeH="0" baseline="0">
                        <a:solidFill>
                          <a:schemeClr val="bg1"/>
                        </a:solidFill>
                        <a:uFill>
                          <a:solidFill>
                            <a:schemeClr val="accent2">
                              <a:lumMod val="50000"/>
                            </a:schemeClr>
                          </a:solidFill>
                        </a:uFill>
                        <a:latin typeface="+mn-lt"/>
                        <a:ea typeface="+mn-ea"/>
                        <a:cs typeface="+mn-cs"/>
                      </a:defRPr>
                    </a:pPr>
                    <a:r>
                      <a:rPr sz="1400" u="none" strike="noStrike" cap="none" normalizeH="0">
                        <a:solidFill>
                          <a:schemeClr val="bg1"/>
                        </a:solidFill>
                        <a:uFill>
                          <a:solidFill>
                            <a:schemeClr val="accent2">
                              <a:lumMod val="50000"/>
                            </a:schemeClr>
                          </a:solidFill>
                        </a:uFill>
                      </a:rPr>
                      <a:t> ₦ 2.37M</a:t>
                    </a:r>
                    <a:endParaRPr sz="1400" u="none" strike="noStrike" cap="none" normalizeH="0">
                      <a:solidFill>
                        <a:schemeClr val="bg1"/>
                      </a:solidFill>
                      <a:uFill>
                        <a:solidFill>
                          <a:schemeClr val="accent2">
                            <a:lumMod val="50000"/>
                          </a:schemeClr>
                        </a:solidFill>
                      </a:uFill>
                    </a:endParaRP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107338017174083"/>
                  <c:y val="-0.0558515208798763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GB" sz="1400" b="0" i="0" u="none" strike="noStrike" kern="1200" cap="none" spc="0" normalizeH="0" baseline="0">
                        <a:solidFill>
                          <a:schemeClr val="bg1"/>
                        </a:solidFill>
                        <a:uFill>
                          <a:solidFill>
                            <a:schemeClr val="accent2">
                              <a:lumMod val="50000"/>
                            </a:schemeClr>
                          </a:solidFill>
                        </a:uFill>
                        <a:latin typeface="+mn-lt"/>
                        <a:ea typeface="+mn-ea"/>
                        <a:cs typeface="+mn-cs"/>
                      </a:defRPr>
                    </a:pPr>
                    <a:r>
                      <a:rPr sz="1400" u="none" strike="noStrike" cap="none" normalizeH="0">
                        <a:solidFill>
                          <a:schemeClr val="bg1"/>
                        </a:solidFill>
                        <a:uFill>
                          <a:solidFill>
                            <a:schemeClr val="accent2">
                              <a:lumMod val="50000"/>
                            </a:schemeClr>
                          </a:solidFill>
                        </a:uFill>
                      </a:rPr>
                      <a:t> ₦ 12.50M</a:t>
                    </a:r>
                    <a:endParaRPr sz="1400" u="none" strike="noStrike" cap="none" normalizeH="0">
                      <a:solidFill>
                        <a:schemeClr val="bg1"/>
                      </a:solidFill>
                      <a:uFill>
                        <a:solidFill>
                          <a:schemeClr val="accent2">
                            <a:lumMod val="50000"/>
                          </a:schemeClr>
                        </a:solidFill>
                      </a:uFill>
                    </a:endParaRP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224434035909446"/>
                  <c:y val="0.171850833476542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GB" sz="1400" b="0" i="0" u="none" strike="noStrike" kern="1200" cap="none" spc="0" normalizeH="0" baseline="0">
                        <a:solidFill>
                          <a:schemeClr val="bg1"/>
                        </a:solidFill>
                        <a:uFill>
                          <a:solidFill>
                            <a:schemeClr val="accent2">
                              <a:lumMod val="50000"/>
                            </a:schemeClr>
                          </a:solidFill>
                        </a:uFill>
                        <a:latin typeface="+mn-lt"/>
                        <a:ea typeface="+mn-ea"/>
                        <a:cs typeface="+mn-cs"/>
                      </a:defRPr>
                    </a:pPr>
                    <a:r>
                      <a:rPr sz="1400" u="none" strike="noStrike" cap="none" normalizeH="0">
                        <a:solidFill>
                          <a:schemeClr val="bg1"/>
                        </a:solidFill>
                        <a:uFill>
                          <a:solidFill>
                            <a:schemeClr val="accent2">
                              <a:lumMod val="50000"/>
                            </a:schemeClr>
                          </a:solidFill>
                        </a:uFill>
                      </a:rPr>
                      <a:t> ₦ 14.96M</a:t>
                    </a:r>
                    <a:endParaRPr sz="1400" u="none" strike="noStrike" cap="none" normalizeH="0">
                      <a:solidFill>
                        <a:schemeClr val="bg1"/>
                      </a:solidFill>
                      <a:uFill>
                        <a:solidFill>
                          <a:schemeClr val="accent2">
                            <a:lumMod val="50000"/>
                          </a:schemeClr>
                        </a:solidFill>
                      </a:uFill>
                    </a:endParaRP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400" b="0" i="0" u="none" strike="noStrike" kern="1200" cap="none" spc="0" normalizeH="0" baseline="0">
                    <a:solidFill>
                      <a:schemeClr val="bg1"/>
                    </a:solidFill>
                    <a:uFill>
                      <a:solidFill>
                        <a:schemeClr val="accent2">
                          <a:lumMod val="50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TABLE'!$E$23:$E$27</c:f>
              <c:strCache>
                <c:ptCount val="4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</c:strCache>
            </c:strRef>
          </c:cat>
          <c:val>
            <c:numRef>
              <c:f>'PIVOT TABLE'!$G$23:$G$27</c:f>
              <c:numCache>
                <c:formatCode>[&gt;=1000000]\ "₦"\ ##,##0.00,,"M";[&gt;=1000]\ "₦"\ #.00,\ "K";\ "₦"\ ###.00</c:formatCode>
                <c:ptCount val="4"/>
                <c:pt idx="0">
                  <c:v>1947900</c:v>
                </c:pt>
                <c:pt idx="1">
                  <c:v>2367900</c:v>
                </c:pt>
                <c:pt idx="2">
                  <c:v>12495100</c:v>
                </c:pt>
                <c:pt idx="3">
                  <c:v>14956000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898091073"/>
        <c:axId val="748322206"/>
      </c:lineChart>
      <c:catAx>
        <c:axId val="89809107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400" b="0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748322206"/>
        <c:crosses val="autoZero"/>
        <c:auto val="1"/>
        <c:lblAlgn val="ctr"/>
        <c:lblOffset val="100"/>
        <c:noMultiLvlLbl val="0"/>
      </c:catAx>
      <c:valAx>
        <c:axId val="74832220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[&gt;=1000000]\ &quot;₦&quot;\ ##,##0.00,,&quot;M&quot;;[&gt;=1000]\ &quot;₦&quot;\ #.00,\ &quot;K&quot;;\ &quot;₦&quot;\ ###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400" b="0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89809107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1400" b="0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1400" b="0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cap="none" spc="0" normalizeH="0" baseline="0">
              <a:solidFill>
                <a:schemeClr val="accent2">
                  <a:lumMod val="50000"/>
                </a:schemeClr>
              </a:solidFill>
              <a:uFill>
                <a:solidFill>
                  <a:schemeClr val="accent2">
                    <a:lumMod val="50000"/>
                  </a:schemeClr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2045c07-8e38-40c2-b45c-cfe3699f55c6}"/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 lang="en-GB" sz="1400" u="none" strike="noStrike" kern="1200" cap="none" spc="0" normalizeH="0">
          <a:solidFill>
            <a:schemeClr val="accent2">
              <a:lumMod val="50000"/>
            </a:schemeClr>
          </a:solidFill>
          <a:uFill>
            <a:solidFill>
              <a:schemeClr val="accent2">
                <a:lumMod val="50000"/>
              </a:schemeClr>
            </a:solidFill>
          </a:u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1.xlsx]PIVOT TABLE!MEMEBERSHIP PEFORMANCE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680" b="1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  <a:r>
              <a:rPr lang="en-US" altLang="en-GB" sz="1680" u="none" strike="noStrike" cap="none" normalizeH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</a:rPr>
              <a:t>MEMEBERSHIP PERFORMANCE</a:t>
            </a:r>
            <a:endParaRPr lang="en-US" altLang="en-GB" sz="1680" u="none" strike="noStrike" cap="none" normalizeH="0">
              <a:solidFill>
                <a:schemeClr val="accent2">
                  <a:lumMod val="50000"/>
                </a:schemeClr>
              </a:solidFill>
              <a:uFill>
                <a:solidFill>
                  <a:schemeClr val="accent2">
                    <a:lumMod val="50000"/>
                  </a:schemeClr>
                </a:solidFill>
              </a:u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TABLE'!$F$17</c:f>
              <c:strCache>
                <c:ptCount val="1"/>
                <c:pt idx="0">
                  <c:v>Count of QUANTITY SOLD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gradFill>
                <a:gsLst>
                  <a:gs pos="100000">
                    <a:schemeClr val="bg1">
                      <a:lumMod val="50000"/>
                    </a:schemeClr>
                  </a:gs>
                  <a:gs pos="0">
                    <a:schemeClr val="bg1">
                      <a:lumMod val="5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400" b="0" i="0" u="none" strike="noStrike" kern="1200" cap="none" spc="0" normalizeH="0" baseline="0">
                    <a:solidFill>
                      <a:schemeClr val="accent2">
                        <a:lumMod val="50000"/>
                      </a:schemeClr>
                    </a:solidFill>
                    <a:uFill>
                      <a:solidFill>
                        <a:schemeClr val="accent2">
                          <a:lumMod val="50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TABLE'!$E$18:$E$20</c:f>
              <c:strCache>
                <c:ptCount val="2"/>
                <c:pt idx="0">
                  <c:v>NORMAL</c:v>
                </c:pt>
                <c:pt idx="1">
                  <c:v>MEMEBER</c:v>
                </c:pt>
              </c:strCache>
            </c:strRef>
          </c:cat>
          <c:val>
            <c:numRef>
              <c:f>'PIVOT TABLE'!$F$18:$F$20</c:f>
              <c:numCache>
                <c:formatCode>General</c:formatCode>
                <c:ptCount val="2"/>
                <c:pt idx="0">
                  <c:v>184</c:v>
                </c:pt>
                <c:pt idx="1">
                  <c:v>116</c:v>
                </c:pt>
              </c:numCache>
            </c:numRef>
          </c:val>
        </c:ser>
        <c:ser>
          <c:idx val="1"/>
          <c:order val="1"/>
          <c:tx>
            <c:strRef>
              <c:f>'PIVOT TABLE'!$G$17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75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400" b="0" i="0" u="none" strike="noStrike" kern="1200" cap="none" spc="0" normalizeH="0" baseline="0">
                    <a:solidFill>
                      <a:schemeClr val="accent2">
                        <a:lumMod val="50000"/>
                      </a:schemeClr>
                    </a:solidFill>
                    <a:uFill>
                      <a:solidFill>
                        <a:schemeClr val="accent2">
                          <a:lumMod val="50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TABLE'!$E$18:$E$20</c:f>
              <c:strCache>
                <c:ptCount val="2"/>
                <c:pt idx="0">
                  <c:v>NORMAL</c:v>
                </c:pt>
                <c:pt idx="1">
                  <c:v>MEMEBER</c:v>
                </c:pt>
              </c:strCache>
            </c:strRef>
          </c:cat>
          <c:val>
            <c:numRef>
              <c:f>'PIVOT TABLE'!$G$18:$G$20</c:f>
              <c:numCache>
                <c:formatCode>[&gt;=1000000]\ "₦"\ ##,##0.00,,"M";[&gt;=1000]\ "₦"\ #.00,\ "K";\ "₦"\ ###.00</c:formatCode>
                <c:ptCount val="2"/>
                <c:pt idx="0">
                  <c:v>52661000</c:v>
                </c:pt>
                <c:pt idx="1">
                  <c:v>24112000</c:v>
                </c:pt>
              </c:numCache>
            </c:numRef>
          </c:val>
        </c:ser>
        <c:ser>
          <c:idx val="2"/>
          <c:order val="2"/>
          <c:tx>
            <c:strRef>
              <c:f>'PIVOT TABLE'!$H$17</c:f>
              <c:strCache>
                <c:ptCount val="1"/>
                <c:pt idx="0">
                  <c:v>Sum of TOTAL PROFIT</c:v>
                </c:pt>
              </c:strCache>
            </c:strRef>
          </c:tx>
          <c:spPr>
            <a:solidFill>
              <a:schemeClr val="accent2"/>
            </a:soli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/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400" b="0" i="0" u="none" strike="noStrike" kern="1200" cap="none" spc="0" normalizeH="0" baseline="0">
                    <a:solidFill>
                      <a:schemeClr val="accent2">
                        <a:lumMod val="50000"/>
                      </a:schemeClr>
                    </a:solidFill>
                    <a:uFill>
                      <a:solidFill>
                        <a:schemeClr val="accent2">
                          <a:lumMod val="50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TABLE'!$E$18:$E$20</c:f>
              <c:strCache>
                <c:ptCount val="2"/>
                <c:pt idx="0">
                  <c:v>NORMAL</c:v>
                </c:pt>
                <c:pt idx="1">
                  <c:v>MEMEBER</c:v>
                </c:pt>
              </c:strCache>
            </c:strRef>
          </c:cat>
          <c:val>
            <c:numRef>
              <c:f>'PIVOT TABLE'!$H$18:$H$20</c:f>
              <c:numCache>
                <c:formatCode>[&gt;=1000000]\ "₦"\ ##,##0.00,,"M";[&gt;=1000]\ "₦"\ #.00,\ "K";\ "₦"\ ###.00</c:formatCode>
                <c:ptCount val="2"/>
                <c:pt idx="0">
                  <c:v>21841350</c:v>
                </c:pt>
                <c:pt idx="1">
                  <c:v>9925550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995029598"/>
        <c:axId val="292862790"/>
      </c:barChart>
      <c:catAx>
        <c:axId val="99502959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400" b="0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292862790"/>
        <c:crosses val="autoZero"/>
        <c:auto val="1"/>
        <c:lblAlgn val="ctr"/>
        <c:lblOffset val="100"/>
        <c:noMultiLvlLbl val="0"/>
      </c:catAx>
      <c:valAx>
        <c:axId val="29286279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400" b="0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99502959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1400" b="0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1400" b="0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GB" sz="1400" b="0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cap="none" spc="0" normalizeH="0" baseline="0">
              <a:solidFill>
                <a:schemeClr val="accent2">
                  <a:lumMod val="50000"/>
                </a:schemeClr>
              </a:solidFill>
              <a:uFill>
                <a:solidFill>
                  <a:schemeClr val="accent2">
                    <a:lumMod val="50000"/>
                  </a:schemeClr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89884da-0073-4763-8f6b-067f467e0c11}"/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 lang="en-GB" sz="1400" u="none" strike="noStrike" kern="1200" cap="none" spc="0" normalizeH="0">
          <a:solidFill>
            <a:schemeClr val="accent2">
              <a:lumMod val="50000"/>
            </a:schemeClr>
          </a:solidFill>
          <a:uFill>
            <a:solidFill>
              <a:schemeClr val="accent2">
                <a:lumMod val="50000"/>
              </a:schemeClr>
            </a:solidFill>
          </a:u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1.xlsx]PIVOT TABLE!PAYMENT METHOD PEFORMANCE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680" b="1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  <a:r>
              <a:rPr lang="en-US" altLang="en-GB" sz="1680" u="none" strike="noStrike" cap="none" normalizeH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</a:rPr>
              <a:t>PAYMENT CHANNEL PERFOEMANCE</a:t>
            </a:r>
            <a:endParaRPr lang="en-US" altLang="en-GB" sz="1680" u="none" strike="noStrike" cap="none" normalizeH="0">
              <a:solidFill>
                <a:schemeClr val="accent2">
                  <a:lumMod val="50000"/>
                </a:schemeClr>
              </a:solidFill>
              <a:uFill>
                <a:solidFill>
                  <a:schemeClr val="accent2">
                    <a:lumMod val="50000"/>
                  </a:schemeClr>
                </a:solidFill>
              </a:u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TABLE'!$F$10</c:f>
              <c:strCache>
                <c:ptCount val="1"/>
                <c:pt idx="0">
                  <c:v>Sum of REVENUE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86170212765957"/>
                  <c:y val="0.02540650406504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82845744680851"/>
                  <c:y val="0.060975609756097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69547872340426"/>
                  <c:y val="0.06605691056910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400" b="0" i="0" u="none" strike="noStrike" kern="1200" cap="none" spc="0" normalizeH="0" baseline="0">
                    <a:solidFill>
                      <a:schemeClr val="accent2">
                        <a:lumMod val="50000"/>
                      </a:schemeClr>
                    </a:solidFill>
                    <a:uFill>
                      <a:solidFill>
                        <a:schemeClr val="accent2">
                          <a:lumMod val="50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bg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TABLE'!$E$11:$E$14</c:f>
              <c:strCache>
                <c:ptCount val="3"/>
                <c:pt idx="0">
                  <c:v>CASH</c:v>
                </c:pt>
                <c:pt idx="1">
                  <c:v>POS</c:v>
                </c:pt>
                <c:pt idx="2">
                  <c:v>TRANSFER</c:v>
                </c:pt>
              </c:strCache>
            </c:strRef>
          </c:cat>
          <c:val>
            <c:numRef>
              <c:f>'PIVOT TABLE'!$F$11:$F$14</c:f>
              <c:numCache>
                <c:formatCode>[&gt;=1000000]\ "₦"\ ##,##0.00,,"M";[&gt;=1000]\ "₦"\ #.00,\ "K";\ "₦"\ ###.00</c:formatCode>
                <c:ptCount val="3"/>
                <c:pt idx="0">
                  <c:v>21079000</c:v>
                </c:pt>
                <c:pt idx="1">
                  <c:v>28640500</c:v>
                </c:pt>
                <c:pt idx="2">
                  <c:v>27053500</c:v>
                </c:pt>
              </c:numCache>
            </c:numRef>
          </c:val>
        </c:ser>
        <c:ser>
          <c:idx val="1"/>
          <c:order val="1"/>
          <c:tx>
            <c:strRef>
              <c:f>'PIVOT TABLE'!$G$10</c:f>
              <c:strCache>
                <c:ptCount val="1"/>
                <c:pt idx="0">
                  <c:v>Sum of TOTAL PROFIT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797872340425532"/>
                  <c:y val="-0.1880081300813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42952127659574"/>
                  <c:y val="0.06605691056910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86436170212766"/>
                  <c:y val="-0.1321138211382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400" b="0" i="0" u="none" strike="noStrike" kern="1200" cap="none" spc="0" normalizeH="0" baseline="0">
                    <a:solidFill>
                      <a:schemeClr val="accent2">
                        <a:lumMod val="50000"/>
                      </a:schemeClr>
                    </a:solidFill>
                    <a:uFill>
                      <a:solidFill>
                        <a:schemeClr val="accent2">
                          <a:lumMod val="50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bg2">
                          <a:lumMod val="2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TABLE'!$E$11:$E$14</c:f>
              <c:strCache>
                <c:ptCount val="3"/>
                <c:pt idx="0">
                  <c:v>CASH</c:v>
                </c:pt>
                <c:pt idx="1">
                  <c:v>POS</c:v>
                </c:pt>
                <c:pt idx="2">
                  <c:v>TRANSFER</c:v>
                </c:pt>
              </c:strCache>
            </c:strRef>
          </c:cat>
          <c:val>
            <c:numRef>
              <c:f>'PIVOT TABLE'!$G$11:$G$14</c:f>
              <c:numCache>
                <c:formatCode>[&gt;=1000000]\ "₦"\ ##,##0.00,,"M";[&gt;=1000]\ "₦"\ #.00,\ "K";\ "₦"\ ###.00</c:formatCode>
                <c:ptCount val="3"/>
                <c:pt idx="0">
                  <c:v>8787650</c:v>
                </c:pt>
                <c:pt idx="1">
                  <c:v>12503100</c:v>
                </c:pt>
                <c:pt idx="2">
                  <c:v>10476150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1400" b="0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1400" b="0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GB" sz="1400" b="0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cap="none" spc="0" normalizeH="0" baseline="0">
              <a:solidFill>
                <a:schemeClr val="accent2">
                  <a:lumMod val="50000"/>
                </a:schemeClr>
              </a:solidFill>
              <a:uFill>
                <a:solidFill>
                  <a:schemeClr val="accent2">
                    <a:lumMod val="50000"/>
                  </a:schemeClr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ad5f0bc-ddd3-4c28-9226-237366858320}"/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 lang="en-GB" sz="1400" u="none" strike="noStrike" kern="1200" cap="none" spc="0" normalizeH="0">
          <a:solidFill>
            <a:schemeClr val="accent2">
              <a:lumMod val="50000"/>
            </a:schemeClr>
          </a:solidFill>
          <a:uFill>
            <a:solidFill>
              <a:schemeClr val="accent2">
                <a:lumMod val="50000"/>
              </a:schemeClr>
            </a:solidFill>
          </a:u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1.xlsx]PIVOT TABLE!CITY PERFORMANCE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680" b="1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  <a:r>
              <a:rPr lang="en-US" altLang="en-GB" sz="1680" u="none" strike="noStrike" cap="none" normalizeH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</a:rPr>
              <a:t>CITY PERFORMANCE</a:t>
            </a:r>
            <a:endParaRPr lang="en-US" altLang="en-GB" sz="1680" u="none" strike="noStrike" cap="none" normalizeH="0">
              <a:solidFill>
                <a:schemeClr val="accent2">
                  <a:lumMod val="50000"/>
                </a:schemeClr>
              </a:solidFill>
              <a:uFill>
                <a:solidFill>
                  <a:schemeClr val="accent2">
                    <a:lumMod val="50000"/>
                  </a:schemeClr>
                </a:solidFill>
              </a:uFill>
            </a:endParaRPr>
          </a:p>
        </c:rich>
      </c:tx>
      <c:layout>
        <c:manualLayout>
          <c:xMode val="edge"/>
          <c:yMode val="edge"/>
          <c:x val="0.519692792437968"/>
          <c:y val="0.0564915749906194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'PIVOT TABLE'!$F$1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TABLE'!$E$2:$E$7</c:f>
              <c:strCache>
                <c:ptCount val="5"/>
                <c:pt idx="0">
                  <c:v>SAPELE</c:v>
                </c:pt>
                <c:pt idx="1">
                  <c:v>WARRI</c:v>
                </c:pt>
                <c:pt idx="2">
                  <c:v>AGBARO</c:v>
                </c:pt>
                <c:pt idx="3">
                  <c:v>UGHELLI</c:v>
                </c:pt>
                <c:pt idx="4">
                  <c:v>OGHULA</c:v>
                </c:pt>
              </c:strCache>
            </c:strRef>
          </c:cat>
          <c:val>
            <c:numRef>
              <c:f>'PIVOT TABLE'!$F$2:$F$7</c:f>
              <c:numCache>
                <c:formatCode>[&gt;=1000000]\ "₦"\ ##,##0.00,,"M";[&gt;=1000]\ "₦"\ #.00,\ "K";\ "₦"\ ###.00</c:formatCode>
                <c:ptCount val="5"/>
                <c:pt idx="0">
                  <c:v>10338500</c:v>
                </c:pt>
                <c:pt idx="1">
                  <c:v>30983000</c:v>
                </c:pt>
                <c:pt idx="2">
                  <c:v>4699500</c:v>
                </c:pt>
                <c:pt idx="3">
                  <c:v>26305500</c:v>
                </c:pt>
                <c:pt idx="4">
                  <c:v>4446500</c:v>
                </c:pt>
              </c:numCache>
            </c:numRef>
          </c:val>
        </c:ser>
        <c:ser>
          <c:idx val="1"/>
          <c:order val="1"/>
          <c:tx>
            <c:strRef>
              <c:f>'PIVOT TABLE'!$G$1</c:f>
              <c:strCache>
                <c:ptCount val="1"/>
                <c:pt idx="0">
                  <c:v>Sum of TOTAL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TABLE'!$E$2:$E$7</c:f>
              <c:strCache>
                <c:ptCount val="5"/>
                <c:pt idx="0">
                  <c:v>SAPELE</c:v>
                </c:pt>
                <c:pt idx="1">
                  <c:v>WARRI</c:v>
                </c:pt>
                <c:pt idx="2">
                  <c:v>AGBARO</c:v>
                </c:pt>
                <c:pt idx="3">
                  <c:v>UGHELLI</c:v>
                </c:pt>
                <c:pt idx="4">
                  <c:v>OGHULA</c:v>
                </c:pt>
              </c:strCache>
            </c:strRef>
          </c:cat>
          <c:val>
            <c:numRef>
              <c:f>'PIVOT TABLE'!$G$2:$G$7</c:f>
              <c:numCache>
                <c:formatCode>[&gt;=1000000]\ "₦"\ ##,##0.00,,"M";[&gt;=1000]\ "₦"\ #.00,\ "K";\ "₦"\ ###.00</c:formatCode>
                <c:ptCount val="5"/>
                <c:pt idx="0">
                  <c:v>5016500</c:v>
                </c:pt>
                <c:pt idx="1">
                  <c:v>12689700</c:v>
                </c:pt>
                <c:pt idx="2">
                  <c:v>2330800</c:v>
                </c:pt>
                <c:pt idx="3">
                  <c:v>9537900</c:v>
                </c:pt>
                <c:pt idx="4">
                  <c:v>2192000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309770"/>
        <c:axId val="424287009"/>
      </c:radarChart>
      <c:catAx>
        <c:axId val="31430977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400" b="0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424287009"/>
        <c:crosses val="autoZero"/>
        <c:auto val="1"/>
        <c:lblAlgn val="ctr"/>
        <c:lblOffset val="100"/>
        <c:noMultiLvlLbl val="0"/>
      </c:catAx>
      <c:valAx>
        <c:axId val="4242870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[&gt;=1000000]\ &quot;₦&quot;\ ##,##0.00,,&quot;M&quot;;[&gt;=1000]\ &quot;₦&quot;\ #.00,\ &quot;K&quot;;\ &quot;₦&quot;\ ###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400" b="0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3143097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1400" b="0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1400" b="0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cap="none" spc="0" normalizeH="0" baseline="0">
              <a:solidFill>
                <a:schemeClr val="accent2">
                  <a:lumMod val="50000"/>
                </a:schemeClr>
              </a:solidFill>
              <a:uFill>
                <a:solidFill>
                  <a:schemeClr val="accent2">
                    <a:lumMod val="50000"/>
                  </a:schemeClr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d03ffbb-b0db-4621-9836-7277c39d5739}"/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 lang="en-GB" sz="1400" u="none" strike="noStrike" kern="1200" cap="none" spc="0" normalizeH="0">
          <a:solidFill>
            <a:schemeClr val="accent2">
              <a:lumMod val="50000"/>
            </a:schemeClr>
          </a:solidFill>
          <a:uFill>
            <a:solidFill>
              <a:schemeClr val="accent2">
                <a:lumMod val="50000"/>
              </a:schemeClr>
            </a:solidFill>
          </a:u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1.xlsx]PIVOT TABLE!CATEGOTY PERFORMANCE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40" b="1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  <a:r>
              <a:rPr lang="en-US" altLang="en-GB" sz="1440" u="none" strike="noStrike" cap="none" normalizeH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</a:rPr>
              <a:t>TOP 3 CATEGORY BY REVENUE</a:t>
            </a:r>
            <a:endParaRPr lang="en-US" altLang="en-GB" sz="1440" u="none" strike="noStrike" cap="none" normalizeH="0">
              <a:solidFill>
                <a:schemeClr val="accent2">
                  <a:lumMod val="50000"/>
                </a:schemeClr>
              </a:solidFill>
              <a:uFill>
                <a:solidFill>
                  <a:schemeClr val="accent2">
                    <a:lumMod val="50000"/>
                  </a:schemeClr>
                </a:solidFill>
              </a:uFill>
            </a:endParaRPr>
          </a:p>
        </c:rich>
      </c:tx>
      <c:layout>
        <c:manualLayout>
          <c:xMode val="edge"/>
          <c:yMode val="edge"/>
          <c:x val="0.150721687252746"/>
          <c:y val="0.10469203665408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445423471325484"/>
          <c:y val="0.243040196814082"/>
          <c:w val="0.806471705279149"/>
          <c:h val="0.6540705375019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gradFill>
                <a:gsLst>
                  <a:gs pos="95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dLbl>
              <c:idx val="1"/>
              <c:layout>
                <c:manualLayout>
                  <c:x val="0.00462620281273132"/>
                  <c:y val="-0.00382087727342198"/>
                </c:manualLayout>
              </c:layout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60140636565507"/>
                  <c:y val="0"/>
                </c:manualLayout>
              </c:layout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200" b="0" i="0" u="none" strike="noStrike" kern="1200" cap="none" spc="0" normalizeH="0" baseline="0">
                    <a:solidFill>
                      <a:schemeClr val="accent2">
                        <a:lumMod val="50000"/>
                      </a:schemeClr>
                    </a:solidFill>
                    <a:uFill>
                      <a:solidFill>
                        <a:schemeClr val="accent2">
                          <a:lumMod val="50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TABLE'!$A$2:$A$8</c:f>
              <c:strCache>
                <c:ptCount val="6"/>
                <c:pt idx="0">
                  <c:v>BATTERY</c:v>
                </c:pt>
                <c:pt idx="1">
                  <c:v>BLENDER</c:v>
                </c:pt>
                <c:pt idx="2">
                  <c:v>ELECTRICAL</c:v>
                </c:pt>
                <c:pt idx="3">
                  <c:v>SURGE</c:v>
                </c:pt>
                <c:pt idx="4">
                  <c:v>TOOL</c:v>
                </c:pt>
                <c:pt idx="5">
                  <c:v>WIRE</c:v>
                </c:pt>
              </c:strCache>
            </c:strRef>
          </c:cat>
          <c:val>
            <c:numRef>
              <c:f>'PIVOT TABLE'!$B$2:$B$8</c:f>
              <c:numCache>
                <c:formatCode>[&gt;=1000000]\ "₦"\ ##,##0.00,,"M";[&gt;=1000]\ "₦"\ #.00,\ "K";\ "₦"\ ###.00</c:formatCode>
                <c:ptCount val="6"/>
                <c:pt idx="0">
                  <c:v>3473500</c:v>
                </c:pt>
                <c:pt idx="1">
                  <c:v>31500</c:v>
                </c:pt>
                <c:pt idx="2">
                  <c:v>7783500</c:v>
                </c:pt>
                <c:pt idx="3">
                  <c:v>1736000</c:v>
                </c:pt>
                <c:pt idx="4">
                  <c:v>131500</c:v>
                </c:pt>
                <c:pt idx="5">
                  <c:v>63617000</c:v>
                </c:pt>
              </c:numCache>
            </c:numRef>
          </c:val>
        </c:ser>
        <c:ser>
          <c:idx val="1"/>
          <c:order val="1"/>
          <c:tx>
            <c:strRef>
              <c:f>'PIVOT TABLE'!$C$1</c:f>
              <c:strCache>
                <c:ptCount val="1"/>
                <c:pt idx="0">
                  <c:v>Sum of TOTAL PROFIT</c:v>
                </c:pt>
              </c:strCache>
            </c:strRef>
          </c:tx>
          <c:spPr>
            <a:solidFill>
              <a:schemeClr val="accent2"/>
            </a:solidFill>
            <a:ln>
              <a:gradFill>
                <a:gsLst>
                  <a:gs pos="95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dLbl>
              <c:idx val="0"/>
              <c:layout>
                <c:manualLayout>
                  <c:x val="0.328460399703923"/>
                  <c:y val="0.00382087727342198"/>
                </c:manualLayout>
              </c:layout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31920799407846"/>
                  <c:y val="-0.0420296500076418"/>
                </c:manualLayout>
              </c:layout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111028867505551"/>
                  <c:y val="-0.0573131591013297"/>
                </c:manualLayout>
              </c:layout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200" b="0" i="0" u="none" strike="noStrike" kern="1200" cap="none" spc="0" normalizeH="0" baseline="0">
                    <a:solidFill>
                      <a:schemeClr val="bg1">
                        <a:lumMod val="95000"/>
                      </a:schemeClr>
                    </a:solidFill>
                    <a:uFill>
                      <a:solidFill>
                        <a:schemeClr val="accent2">
                          <a:lumMod val="50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TABLE'!$A$2:$A$8</c:f>
              <c:strCache>
                <c:ptCount val="6"/>
                <c:pt idx="0">
                  <c:v>BATTERY</c:v>
                </c:pt>
                <c:pt idx="1">
                  <c:v>BLENDER</c:v>
                </c:pt>
                <c:pt idx="2">
                  <c:v>ELECTRICAL</c:v>
                </c:pt>
                <c:pt idx="3">
                  <c:v>SURGE</c:v>
                </c:pt>
                <c:pt idx="4">
                  <c:v>TOOL</c:v>
                </c:pt>
                <c:pt idx="5">
                  <c:v>WIRE</c:v>
                </c:pt>
              </c:strCache>
            </c:strRef>
          </c:cat>
          <c:val>
            <c:numRef>
              <c:f>'PIVOT TABLE'!$C$2:$C$8</c:f>
              <c:numCache>
                <c:formatCode>[&gt;=1000000]\ "₦"\ ##,##0.00,,"M";[&gt;=1000]\ "₦"\ #.00,\ "K";\ "₦"\ ###.00</c:formatCode>
                <c:ptCount val="6"/>
                <c:pt idx="0">
                  <c:v>1134800</c:v>
                </c:pt>
                <c:pt idx="1">
                  <c:v>10500</c:v>
                </c:pt>
                <c:pt idx="2">
                  <c:v>3790700</c:v>
                </c:pt>
                <c:pt idx="3">
                  <c:v>1095000</c:v>
                </c:pt>
                <c:pt idx="4">
                  <c:v>66600</c:v>
                </c:pt>
                <c:pt idx="5">
                  <c:v>25669300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serLines>
          <c:spPr>
            <a:ln w="9525">
              <a:solidFill>
                <a:schemeClr val="dk1">
                  <a:lumMod val="35000"/>
                  <a:lumOff val="65000"/>
                </a:schemeClr>
              </a:solidFill>
            </a:ln>
            <a:effectLst/>
          </c:spPr>
        </c:serLines>
        <c:axId val="506981172"/>
        <c:axId val="952104069"/>
      </c:barChart>
      <c:catAx>
        <c:axId val="506981172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200" b="0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952104069"/>
        <c:crosses val="autoZero"/>
        <c:auto val="1"/>
        <c:lblAlgn val="ctr"/>
        <c:lblOffset val="100"/>
        <c:noMultiLvlLbl val="0"/>
      </c:catAx>
      <c:valAx>
        <c:axId val="952104069"/>
        <c:scaling>
          <c:orientation val="minMax"/>
        </c:scaling>
        <c:delete val="1"/>
        <c:axPos val="b"/>
        <c:numFmt formatCode="[&gt;=1000000]\ &quot;₦&quot;\ ##,##0.00,,&quot;M&quot;;[&gt;=1000]\ &quot;₦&quot;\ #.00,\ &quot;K&quot;;\ &quot;₦&quot;\ ###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200" b="0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5069811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1200" b="0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1200" b="0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74019245003701"/>
          <c:y val="0.62043405133942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200" b="0" i="0" u="none" strike="noStrike" kern="1200" cap="none" spc="0" normalizeH="0" baseline="0">
              <a:solidFill>
                <a:schemeClr val="accent2">
                  <a:lumMod val="50000"/>
                </a:schemeClr>
              </a:solidFill>
              <a:uFill>
                <a:solidFill>
                  <a:schemeClr val="accent2">
                    <a:lumMod val="50000"/>
                  </a:schemeClr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654bff2-c98d-400f-9acd-01b018884fd3}"/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 lang="en-GB" sz="1200" u="none" strike="noStrike" kern="1200" cap="none" spc="0" normalizeH="0">
          <a:solidFill>
            <a:schemeClr val="accent2">
              <a:lumMod val="50000"/>
            </a:schemeClr>
          </a:solidFill>
          <a:uFill>
            <a:solidFill>
              <a:schemeClr val="accent2">
                <a:lumMod val="50000"/>
              </a:schemeClr>
            </a:solidFill>
          </a:u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1.xlsx]PIVOT TABLE!TOP 10 PRODUCT BY QUANTITY SOLD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680" b="1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  <a:r>
              <a:rPr lang="en-US" altLang="en-GB" sz="1800" u="none" strike="noStrike" cap="none" normalizeH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</a:rPr>
              <a:t>PRODUCT  BY SALES</a:t>
            </a:r>
            <a:endParaRPr lang="en-US" altLang="en-GB" sz="1800" u="none" strike="noStrike" cap="none" normalizeH="0">
              <a:solidFill>
                <a:schemeClr val="accent2">
                  <a:lumMod val="50000"/>
                </a:schemeClr>
              </a:solidFill>
              <a:uFill>
                <a:solidFill>
                  <a:schemeClr val="accent2">
                    <a:lumMod val="50000"/>
                  </a:schemeClr>
                </a:solidFill>
              </a:uFill>
            </a:endParaRPr>
          </a:p>
        </c:rich>
      </c:tx>
      <c:layout>
        <c:manualLayout>
          <c:xMode val="edge"/>
          <c:yMode val="edge"/>
          <c:x val="0.392407298165255"/>
          <c:y val="0.06268958459609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gradFill>
                <a:gsLst>
                  <a:gs pos="95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400" b="0" i="0" u="none" strike="noStrike" kern="1200" cap="none" spc="0" normalizeH="0" baseline="0">
                    <a:solidFill>
                      <a:schemeClr val="accent2">
                        <a:lumMod val="50000"/>
                      </a:schemeClr>
                    </a:solidFill>
                    <a:uFill>
                      <a:solidFill>
                        <a:schemeClr val="accent2">
                          <a:lumMod val="50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TABLE'!$I$2:$I$12</c:f>
              <c:strCache>
                <c:ptCount val="10"/>
                <c:pt idx="0">
                  <c:v>4K HDMI (50m) WIRE</c:v>
                </c:pt>
                <c:pt idx="1">
                  <c:v>3 TO 3 AV (5m) WIRE</c:v>
                </c:pt>
                <c:pt idx="2">
                  <c:v>BENJOR MULTI WITH SWITCH</c:v>
                </c:pt>
                <c:pt idx="3">
                  <c:v>HDMI (10m) WIRE </c:v>
                </c:pt>
                <c:pt idx="4">
                  <c:v>BLUE 4K HDMI (10m) WIRE</c:v>
                </c:pt>
                <c:pt idx="5">
                  <c:v>13 AMPS SINGLE SOCKET NEW</c:v>
                </c:pt>
                <c:pt idx="6">
                  <c:v>BLUE 4K HDMI (3m) WIRE</c:v>
                </c:pt>
                <c:pt idx="7">
                  <c:v>4K HDMI (100m) WIRE</c:v>
                </c:pt>
                <c:pt idx="8">
                  <c:v>3 TO 3 AV (10m) WIRE</c:v>
                </c:pt>
                <c:pt idx="9">
                  <c:v>MULTI (APC) EXTENTION 6 MOUTH</c:v>
                </c:pt>
              </c:strCache>
            </c:strRef>
          </c:cat>
          <c:val>
            <c:numRef>
              <c:f>'PIVOT TABLE'!$J$2:$J$12</c:f>
              <c:numCache>
                <c:formatCode>General</c:formatCode>
                <c:ptCount val="10"/>
                <c:pt idx="0">
                  <c:v>129</c:v>
                </c:pt>
                <c:pt idx="1">
                  <c:v>130</c:v>
                </c:pt>
                <c:pt idx="2">
                  <c:v>132</c:v>
                </c:pt>
                <c:pt idx="3">
                  <c:v>137</c:v>
                </c:pt>
                <c:pt idx="4">
                  <c:v>145</c:v>
                </c:pt>
                <c:pt idx="5">
                  <c:v>155</c:v>
                </c:pt>
                <c:pt idx="6">
                  <c:v>165</c:v>
                </c:pt>
                <c:pt idx="7">
                  <c:v>173</c:v>
                </c:pt>
                <c:pt idx="8">
                  <c:v>174</c:v>
                </c:pt>
                <c:pt idx="9">
                  <c:v>213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271501649"/>
        <c:axId val="833050866"/>
      </c:barChart>
      <c:catAx>
        <c:axId val="27150164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400" b="0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833050866"/>
        <c:crosses val="autoZero"/>
        <c:auto val="1"/>
        <c:lblAlgn val="ctr"/>
        <c:lblOffset val="100"/>
        <c:noMultiLvlLbl val="0"/>
      </c:catAx>
      <c:valAx>
        <c:axId val="83305086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400" b="0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27150164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1400" b="0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cap="none" spc="0" normalizeH="0" baseline="0">
              <a:solidFill>
                <a:schemeClr val="accent2">
                  <a:lumMod val="50000"/>
                </a:schemeClr>
              </a:solidFill>
              <a:uFill>
                <a:solidFill>
                  <a:schemeClr val="accent2">
                    <a:lumMod val="50000"/>
                  </a:schemeClr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b95a92c-b0d4-49ee-9083-17bc88024380}"/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 lang="en-GB" sz="1400" u="none" strike="noStrike" kern="1200" cap="none" spc="0" normalizeH="0">
          <a:solidFill>
            <a:schemeClr val="accent2">
              <a:lumMod val="50000"/>
            </a:schemeClr>
          </a:solidFill>
          <a:uFill>
            <a:solidFill>
              <a:schemeClr val="accent2">
                <a:lumMod val="50000"/>
              </a:schemeClr>
            </a:solidFill>
          </a:u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1.xlsx]PIVOT TABLE!TOP 10 PRODUCT BY REVENUE &amp; PROFIT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40" b="1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  <a:r>
              <a:rPr lang="en-US" altLang="en-GB" sz="1440" u="none" strike="noStrike" cap="none" normalizeH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</a:rPr>
              <a:t>TOP 10 PRODUCT</a:t>
            </a:r>
            <a:endParaRPr lang="en-US" altLang="en-GB" sz="1440" u="none" strike="noStrike" cap="none" normalizeH="0">
              <a:solidFill>
                <a:schemeClr val="accent2">
                  <a:lumMod val="50000"/>
                </a:schemeClr>
              </a:solidFill>
              <a:uFill>
                <a:solidFill>
                  <a:schemeClr val="accent2">
                    <a:lumMod val="50000"/>
                  </a:schemeClr>
                </a:solidFill>
              </a:uFill>
            </a:endParaRPr>
          </a:p>
        </c:rich>
      </c:tx>
      <c:layout>
        <c:manualLayout>
          <c:xMode val="edge"/>
          <c:yMode val="edge"/>
          <c:x val="0.419128653424237"/>
          <c:y val="0.00594648166501487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TABLE'!$B$10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gradFill>
                <a:gsLst>
                  <a:gs pos="0">
                    <a:schemeClr val="accent2">
                      <a:lumMod val="50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200" b="0" i="0" u="none" strike="noStrike" kern="1200" cap="none" spc="0" normalizeH="0" baseline="0">
                    <a:solidFill>
                      <a:schemeClr val="accent2">
                        <a:lumMod val="50000"/>
                      </a:schemeClr>
                    </a:solidFill>
                    <a:uFill>
                      <a:solidFill>
                        <a:schemeClr val="accent2">
                          <a:lumMod val="50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TABLE'!$A$11:$A$22</c:f>
              <c:strCache>
                <c:ptCount val="11"/>
                <c:pt idx="0">
                  <c:v>HDMI (50m) WIRE</c:v>
                </c:pt>
                <c:pt idx="1">
                  <c:v>BLUE 4K HDMI (10m) WIRE</c:v>
                </c:pt>
                <c:pt idx="2">
                  <c:v>4K HDMI (10m) WIRE</c:v>
                </c:pt>
                <c:pt idx="3">
                  <c:v>CAT 4 WIRE</c:v>
                </c:pt>
                <c:pt idx="4">
                  <c:v>MULTI (APC) EXTENTION 6 MOUTH</c:v>
                </c:pt>
                <c:pt idx="5">
                  <c:v>SNAKE (Tiny) WIRE</c:v>
                </c:pt>
                <c:pt idx="6">
                  <c:v>KAPU WIRE</c:v>
                </c:pt>
                <c:pt idx="7">
                  <c:v>ORIGINAL SPEAKER WIRE</c:v>
                </c:pt>
                <c:pt idx="8">
                  <c:v>4K HDMI (50m) WIRE</c:v>
                </c:pt>
                <c:pt idx="9">
                  <c:v>CAT 6 WIRE</c:v>
                </c:pt>
                <c:pt idx="10">
                  <c:v>4K HDMI (100m) WIRE</c:v>
                </c:pt>
              </c:strCache>
            </c:strRef>
          </c:cat>
          <c:val>
            <c:numRef>
              <c:f>'PIVOT TABLE'!$B$11:$B$22</c:f>
              <c:numCache>
                <c:formatCode>[&gt;=1000000]\ "₦"\ ##,##0.00,,"M";[&gt;=1000]\ "₦"\ #.00,\ "K";\ "₦"\ ###.00</c:formatCode>
                <c:ptCount val="11"/>
                <c:pt idx="0">
                  <c:v>1740000</c:v>
                </c:pt>
                <c:pt idx="1">
                  <c:v>1740000</c:v>
                </c:pt>
                <c:pt idx="2">
                  <c:v>1830000</c:v>
                </c:pt>
                <c:pt idx="3">
                  <c:v>2340000</c:v>
                </c:pt>
                <c:pt idx="4">
                  <c:v>2556000</c:v>
                </c:pt>
                <c:pt idx="5">
                  <c:v>3540000</c:v>
                </c:pt>
                <c:pt idx="6">
                  <c:v>4200000</c:v>
                </c:pt>
                <c:pt idx="7">
                  <c:v>4800000</c:v>
                </c:pt>
                <c:pt idx="8">
                  <c:v>5805000</c:v>
                </c:pt>
                <c:pt idx="9">
                  <c:v>6710000</c:v>
                </c:pt>
                <c:pt idx="10">
                  <c:v>17300000</c:v>
                </c:pt>
              </c:numCache>
            </c:numRef>
          </c:val>
        </c:ser>
        <c:ser>
          <c:idx val="1"/>
          <c:order val="1"/>
          <c:tx>
            <c:strRef>
              <c:f>'PIVOT TABLE'!$C$10</c:f>
              <c:strCache>
                <c:ptCount val="1"/>
                <c:pt idx="0">
                  <c:v>Sum of TOTAL PROFIT</c:v>
                </c:pt>
              </c:strCache>
            </c:strRef>
          </c:tx>
          <c:spPr>
            <a:solidFill>
              <a:schemeClr val="accent2"/>
            </a:soli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200" b="0" i="0" u="none" strike="noStrike" kern="1200" cap="none" spc="0" normalizeH="0" baseline="0">
                    <a:solidFill>
                      <a:schemeClr val="accent2">
                        <a:lumMod val="50000"/>
                      </a:schemeClr>
                    </a:solidFill>
                    <a:uFill>
                      <a:solidFill>
                        <a:schemeClr val="accent2">
                          <a:lumMod val="50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TABLE'!$A$11:$A$22</c:f>
              <c:strCache>
                <c:ptCount val="11"/>
                <c:pt idx="0">
                  <c:v>HDMI (50m) WIRE</c:v>
                </c:pt>
                <c:pt idx="1">
                  <c:v>BLUE 4K HDMI (10m) WIRE</c:v>
                </c:pt>
                <c:pt idx="2">
                  <c:v>4K HDMI (10m) WIRE</c:v>
                </c:pt>
                <c:pt idx="3">
                  <c:v>CAT 4 WIRE</c:v>
                </c:pt>
                <c:pt idx="4">
                  <c:v>MULTI (APC) EXTENTION 6 MOUTH</c:v>
                </c:pt>
                <c:pt idx="5">
                  <c:v>SNAKE (Tiny) WIRE</c:v>
                </c:pt>
                <c:pt idx="6">
                  <c:v>KAPU WIRE</c:v>
                </c:pt>
                <c:pt idx="7">
                  <c:v>ORIGINAL SPEAKER WIRE</c:v>
                </c:pt>
                <c:pt idx="8">
                  <c:v>4K HDMI (50m) WIRE</c:v>
                </c:pt>
                <c:pt idx="9">
                  <c:v>CAT 6 WIRE</c:v>
                </c:pt>
                <c:pt idx="10">
                  <c:v>4K HDMI (100m) WIRE</c:v>
                </c:pt>
              </c:strCache>
            </c:strRef>
          </c:cat>
          <c:val>
            <c:numRef>
              <c:f>'PIVOT TABLE'!$C$11:$C$22</c:f>
              <c:numCache>
                <c:formatCode>[&gt;=1000000]\ "₦"\ ##,##0.00,,"M";[&gt;=1000]\ "₦"\ #.00,\ "K";\ "₦"\ ###.00</c:formatCode>
                <c:ptCount val="11"/>
                <c:pt idx="0">
                  <c:v>435000</c:v>
                </c:pt>
                <c:pt idx="1">
                  <c:v>870000</c:v>
                </c:pt>
                <c:pt idx="2">
                  <c:v>1220000</c:v>
                </c:pt>
                <c:pt idx="3">
                  <c:v>936000</c:v>
                </c:pt>
                <c:pt idx="4">
                  <c:v>1065000</c:v>
                </c:pt>
                <c:pt idx="5">
                  <c:v>1180000</c:v>
                </c:pt>
                <c:pt idx="6">
                  <c:v>1680000</c:v>
                </c:pt>
                <c:pt idx="7">
                  <c:v>1800000</c:v>
                </c:pt>
                <c:pt idx="8">
                  <c:v>1935000</c:v>
                </c:pt>
                <c:pt idx="9">
                  <c:v>1830000</c:v>
                </c:pt>
                <c:pt idx="10">
                  <c:v>6920000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586074933"/>
        <c:axId val="127922892"/>
      </c:barChart>
      <c:catAx>
        <c:axId val="58607493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200" b="0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127922892"/>
        <c:crosses val="autoZero"/>
        <c:auto val="1"/>
        <c:lblAlgn val="ctr"/>
        <c:lblOffset val="100"/>
        <c:noMultiLvlLbl val="0"/>
      </c:catAx>
      <c:valAx>
        <c:axId val="127922892"/>
        <c:scaling>
          <c:orientation val="minMax"/>
        </c:scaling>
        <c:delete val="1"/>
        <c:axPos val="b"/>
        <c:numFmt formatCode="[&gt;=1000000]\ &quot;₦&quot;\ ##,##0.00,,&quot;M&quot;;[&gt;=1000]\ &quot;₦&quot;\ #.00,\ &quot;K&quot;;\ &quot;₦&quot;\ ###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200" b="0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5860749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1200" b="0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1200" b="0" i="0" u="none" strike="noStrike" kern="1200" cap="none" spc="0" normalizeH="0" baseline="0">
                <a:solidFill>
                  <a:schemeClr val="accent2">
                    <a:lumMod val="50000"/>
                  </a:schemeClr>
                </a:solidFill>
                <a:uFill>
                  <a:solidFill>
                    <a:schemeClr val="accent2">
                      <a:lumMod val="50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200" b="0" i="0" u="none" strike="noStrike" kern="1200" cap="none" spc="0" normalizeH="0" baseline="0">
              <a:solidFill>
                <a:schemeClr val="accent2">
                  <a:lumMod val="50000"/>
                </a:schemeClr>
              </a:solidFill>
              <a:uFill>
                <a:solidFill>
                  <a:schemeClr val="accent2">
                    <a:lumMod val="50000"/>
                  </a:schemeClr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c58e48a-dca7-4bac-accd-a7f88e428d32}"/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 lang="en-GB" sz="1200" u="none" strike="noStrike" kern="1200" cap="none" spc="0" normalizeH="0">
          <a:solidFill>
            <a:schemeClr val="accent2">
              <a:lumMod val="50000"/>
            </a:schemeClr>
          </a:solidFill>
          <a:uFill>
            <a:solidFill>
              <a:schemeClr val="accent2">
                <a:lumMod val="50000"/>
              </a:schemeClr>
            </a:solidFill>
          </a:u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27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jpeg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0</xdr:row>
      <xdr:rowOff>9525</xdr:rowOff>
    </xdr:from>
    <xdr:to>
      <xdr:col>33</xdr:col>
      <xdr:colOff>407035</xdr:colOff>
      <xdr:row>74</xdr:row>
      <xdr:rowOff>71120</xdr:rowOff>
    </xdr:to>
    <xdr:sp>
      <xdr:nvSpPr>
        <xdr:cNvPr id="4" name="Rectangles 3"/>
        <xdr:cNvSpPr/>
      </xdr:nvSpPr>
      <xdr:spPr>
        <a:xfrm>
          <a:off x="9525" y="9525"/>
          <a:ext cx="20514310" cy="14158595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/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GB" altLang="en-US" sz="1100"/>
        </a:p>
      </xdr:txBody>
    </xdr:sp>
    <xdr:clientData/>
  </xdr:twoCellAnchor>
  <xdr:twoCellAnchor>
    <xdr:from>
      <xdr:col>0</xdr:col>
      <xdr:colOff>219075</xdr:colOff>
      <xdr:row>0</xdr:row>
      <xdr:rowOff>133350</xdr:rowOff>
    </xdr:from>
    <xdr:to>
      <xdr:col>5</xdr:col>
      <xdr:colOff>9525</xdr:colOff>
      <xdr:row>50</xdr:row>
      <xdr:rowOff>85090</xdr:rowOff>
    </xdr:to>
    <xdr:sp>
      <xdr:nvSpPr>
        <xdr:cNvPr id="5" name="Rounded Rectangle 4"/>
        <xdr:cNvSpPr/>
      </xdr:nvSpPr>
      <xdr:spPr>
        <a:xfrm>
          <a:off x="219075" y="133350"/>
          <a:ext cx="2838450" cy="947674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GB" altLang="en-US" sz="1100"/>
        </a:p>
      </xdr:txBody>
    </xdr:sp>
    <xdr:clientData/>
  </xdr:twoCellAnchor>
  <xdr:twoCellAnchor>
    <xdr:from>
      <xdr:col>5</xdr:col>
      <xdr:colOff>485775</xdr:colOff>
      <xdr:row>1</xdr:row>
      <xdr:rowOff>66675</xdr:rowOff>
    </xdr:from>
    <xdr:to>
      <xdr:col>28</xdr:col>
      <xdr:colOff>600075</xdr:colOff>
      <xdr:row>5</xdr:row>
      <xdr:rowOff>19050</xdr:rowOff>
    </xdr:to>
    <xdr:sp>
      <xdr:nvSpPr>
        <xdr:cNvPr id="6" name="Rounded Rectangle 5"/>
        <xdr:cNvSpPr/>
      </xdr:nvSpPr>
      <xdr:spPr>
        <a:xfrm>
          <a:off x="3533775" y="257175"/>
          <a:ext cx="14135100" cy="714375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GB" altLang="en-US" sz="1100"/>
        </a:p>
      </xdr:txBody>
    </xdr:sp>
    <xdr:clientData/>
  </xdr:twoCellAnchor>
  <xdr:twoCellAnchor>
    <xdr:from>
      <xdr:col>6</xdr:col>
      <xdr:colOff>47625</xdr:colOff>
      <xdr:row>1</xdr:row>
      <xdr:rowOff>171450</xdr:rowOff>
    </xdr:from>
    <xdr:to>
      <xdr:col>25</xdr:col>
      <xdr:colOff>131445</xdr:colOff>
      <xdr:row>5</xdr:row>
      <xdr:rowOff>85090</xdr:rowOff>
    </xdr:to>
    <xdr:sp>
      <xdr:nvSpPr>
        <xdr:cNvPr id="7" name="Text Box 6"/>
        <xdr:cNvSpPr txBox="1"/>
      </xdr:nvSpPr>
      <xdr:spPr>
        <a:xfrm>
          <a:off x="3705225" y="361950"/>
          <a:ext cx="11666220" cy="67564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altLang="en-GB" sz="3600" b="1">
              <a:solidFill>
                <a:schemeClr val="accent2">
                  <a:lumMod val="75000"/>
                </a:schemeClr>
              </a:solidFill>
              <a:latin typeface="Bookman Old Style" panose="02050604050505020204" charset="0"/>
              <a:cs typeface="Bookman Old Style" panose="02050604050505020204" charset="0"/>
            </a:rPr>
            <a:t>SALES &amp; PROFIT PERFORMANCE DASHBOARD</a:t>
          </a:r>
          <a:endParaRPr lang="en-US" altLang="en-GB" sz="3600" b="1">
            <a:solidFill>
              <a:schemeClr val="accent2">
                <a:lumMod val="75000"/>
              </a:schemeClr>
            </a:solidFill>
            <a:latin typeface="Bookman Old Style" panose="02050604050505020204" charset="0"/>
            <a:cs typeface="Bookman Old Style" panose="02050604050505020204" charset="0"/>
          </a:endParaRPr>
        </a:p>
      </xdr:txBody>
    </xdr:sp>
    <xdr:clientData/>
  </xdr:twoCellAnchor>
  <xdr:twoCellAnchor>
    <xdr:from>
      <xdr:col>5</xdr:col>
      <xdr:colOff>534035</xdr:colOff>
      <xdr:row>7</xdr:row>
      <xdr:rowOff>185420</xdr:rowOff>
    </xdr:from>
    <xdr:to>
      <xdr:col>10</xdr:col>
      <xdr:colOff>106045</xdr:colOff>
      <xdr:row>16</xdr:row>
      <xdr:rowOff>42545</xdr:rowOff>
    </xdr:to>
    <xdr:sp>
      <xdr:nvSpPr>
        <xdr:cNvPr id="31" name="Rounded Rectangle 30"/>
        <xdr:cNvSpPr/>
      </xdr:nvSpPr>
      <xdr:spPr>
        <a:xfrm>
          <a:off x="3582035" y="1518920"/>
          <a:ext cx="2620010" cy="1571625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GB" altLang="en-US" sz="1100"/>
        </a:p>
      </xdr:txBody>
    </xdr:sp>
    <xdr:clientData/>
  </xdr:twoCellAnchor>
  <xdr:twoCellAnchor>
    <xdr:from>
      <xdr:col>11</xdr:col>
      <xdr:colOff>389255</xdr:colOff>
      <xdr:row>7</xdr:row>
      <xdr:rowOff>185420</xdr:rowOff>
    </xdr:from>
    <xdr:to>
      <xdr:col>15</xdr:col>
      <xdr:colOff>564515</xdr:colOff>
      <xdr:row>16</xdr:row>
      <xdr:rowOff>42545</xdr:rowOff>
    </xdr:to>
    <xdr:sp>
      <xdr:nvSpPr>
        <xdr:cNvPr id="36" name="Rounded Rectangle 35"/>
        <xdr:cNvSpPr/>
      </xdr:nvSpPr>
      <xdr:spPr>
        <a:xfrm>
          <a:off x="7094855" y="1518920"/>
          <a:ext cx="2613660" cy="1571625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17</xdr:col>
      <xdr:colOff>244475</xdr:colOff>
      <xdr:row>7</xdr:row>
      <xdr:rowOff>185420</xdr:rowOff>
    </xdr:from>
    <xdr:to>
      <xdr:col>21</xdr:col>
      <xdr:colOff>419735</xdr:colOff>
      <xdr:row>16</xdr:row>
      <xdr:rowOff>42545</xdr:rowOff>
    </xdr:to>
    <xdr:sp>
      <xdr:nvSpPr>
        <xdr:cNvPr id="37" name="Rounded Rectangle 36"/>
        <xdr:cNvSpPr/>
      </xdr:nvSpPr>
      <xdr:spPr>
        <a:xfrm>
          <a:off x="10607675" y="1518920"/>
          <a:ext cx="2613660" cy="1571625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23</xdr:col>
      <xdr:colOff>99695</xdr:colOff>
      <xdr:row>7</xdr:row>
      <xdr:rowOff>185420</xdr:rowOff>
    </xdr:from>
    <xdr:to>
      <xdr:col>27</xdr:col>
      <xdr:colOff>274955</xdr:colOff>
      <xdr:row>16</xdr:row>
      <xdr:rowOff>42545</xdr:rowOff>
    </xdr:to>
    <xdr:sp>
      <xdr:nvSpPr>
        <xdr:cNvPr id="38" name="Rounded Rectangle 37"/>
        <xdr:cNvSpPr/>
      </xdr:nvSpPr>
      <xdr:spPr>
        <a:xfrm>
          <a:off x="14120495" y="1518920"/>
          <a:ext cx="2613660" cy="1571625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28</xdr:col>
      <xdr:colOff>558165</xdr:colOff>
      <xdr:row>7</xdr:row>
      <xdr:rowOff>185420</xdr:rowOff>
    </xdr:from>
    <xdr:to>
      <xdr:col>33</xdr:col>
      <xdr:colOff>130175</xdr:colOff>
      <xdr:row>16</xdr:row>
      <xdr:rowOff>42545</xdr:rowOff>
    </xdr:to>
    <xdr:sp>
      <xdr:nvSpPr>
        <xdr:cNvPr id="39" name="Rounded Rectangle 38"/>
        <xdr:cNvSpPr/>
      </xdr:nvSpPr>
      <xdr:spPr>
        <a:xfrm>
          <a:off x="17626965" y="1518920"/>
          <a:ext cx="2620010" cy="1571625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11</xdr:col>
      <xdr:colOff>528955</xdr:colOff>
      <xdr:row>11</xdr:row>
      <xdr:rowOff>64770</xdr:rowOff>
    </xdr:from>
    <xdr:to>
      <xdr:col>15</xdr:col>
      <xdr:colOff>521335</xdr:colOff>
      <xdr:row>13</xdr:row>
      <xdr:rowOff>64770</xdr:rowOff>
    </xdr:to>
    <xdr:sp>
      <xdr:nvSpPr>
        <xdr:cNvPr id="41" name="Text Box 40"/>
        <xdr:cNvSpPr txBox="1"/>
      </xdr:nvSpPr>
      <xdr:spPr>
        <a:xfrm>
          <a:off x="7234555" y="2160270"/>
          <a:ext cx="2430780" cy="38100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p>
          <a:pPr algn="just"/>
          <a:r>
            <a:rPr lang="en-GB" altLang="en-US" sz="3600" b="1">
              <a:solidFill>
                <a:schemeClr val="accent2">
                  <a:lumMod val="50000"/>
                </a:schemeClr>
              </a:solidFill>
            </a:rPr>
            <a:t> ₦ 31.77M</a:t>
          </a:r>
          <a:endParaRPr lang="en-GB" altLang="en-US" sz="1100"/>
        </a:p>
        <a:p>
          <a:pPr algn="just"/>
          <a:endParaRPr lang="en-GB" altLang="en-US" sz="1100"/>
        </a:p>
      </xdr:txBody>
    </xdr:sp>
    <xdr:clientData/>
  </xdr:twoCellAnchor>
  <xdr:twoCellAnchor>
    <xdr:from>
      <xdr:col>6</xdr:col>
      <xdr:colOff>53975</xdr:colOff>
      <xdr:row>11</xdr:row>
      <xdr:rowOff>64770</xdr:rowOff>
    </xdr:from>
    <xdr:to>
      <xdr:col>9</xdr:col>
      <xdr:colOff>519430</xdr:colOff>
      <xdr:row>13</xdr:row>
      <xdr:rowOff>64770</xdr:rowOff>
    </xdr:to>
    <xdr:sp>
      <xdr:nvSpPr>
        <xdr:cNvPr id="2" name="Text Box 1"/>
        <xdr:cNvSpPr txBox="1"/>
      </xdr:nvSpPr>
      <xdr:spPr>
        <a:xfrm>
          <a:off x="3711575" y="2160270"/>
          <a:ext cx="2294255" cy="38100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r>
            <a:rPr lang="en-GB" altLang="en-US" sz="3600" b="1">
              <a:solidFill>
                <a:schemeClr val="accent2">
                  <a:lumMod val="50000"/>
                </a:schemeClr>
              </a:solidFill>
            </a:rPr>
            <a:t> </a:t>
          </a:r>
          <a:r>
            <a:rPr lang="en-GB" altLang="en-US" sz="1100"/>
            <a:t> </a:t>
          </a:r>
          <a:r>
            <a:rPr lang="en-GB" altLang="en-US" sz="3600" b="1">
              <a:solidFill>
                <a:schemeClr val="accent2">
                  <a:lumMod val="50000"/>
                </a:schemeClr>
              </a:solidFill>
            </a:rPr>
            <a:t>₦ 76.77M</a:t>
          </a:r>
          <a:endParaRPr lang="en-GB" altLang="en-US" sz="3600" b="1">
            <a:solidFill>
              <a:schemeClr val="accent2">
                <a:lumMod val="50000"/>
              </a:schemeClr>
            </a:solidFill>
          </a:endParaRPr>
        </a:p>
        <a:p>
          <a:pPr algn="just"/>
          <a:endParaRPr lang="en-GB" altLang="en-US" sz="3600" b="1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  <xdr:twoCellAnchor>
    <xdr:from>
      <xdr:col>17</xdr:col>
      <xdr:colOff>226060</xdr:colOff>
      <xdr:row>12</xdr:row>
      <xdr:rowOff>175895</xdr:rowOff>
    </xdr:from>
    <xdr:to>
      <xdr:col>21</xdr:col>
      <xdr:colOff>287655</xdr:colOff>
      <xdr:row>14</xdr:row>
      <xdr:rowOff>175895</xdr:rowOff>
    </xdr:to>
    <xdr:sp>
      <xdr:nvSpPr>
        <xdr:cNvPr id="3" name="Text Box 2"/>
        <xdr:cNvSpPr txBox="1"/>
      </xdr:nvSpPr>
      <xdr:spPr>
        <a:xfrm>
          <a:off x="10589260" y="2461895"/>
          <a:ext cx="2499995" cy="38100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r>
            <a:rPr lang="en-GB" altLang="en-US" sz="3600" b="1">
              <a:solidFill>
                <a:schemeClr val="accent2">
                  <a:lumMod val="50000"/>
                </a:schemeClr>
              </a:solidFill>
            </a:rPr>
            <a:t>  ₦ 255.91 K</a:t>
          </a:r>
          <a:endParaRPr lang="en-GB" altLang="en-US" sz="3600" b="1">
            <a:solidFill>
              <a:schemeClr val="accent2">
                <a:lumMod val="50000"/>
              </a:schemeClr>
            </a:solidFill>
          </a:endParaRPr>
        </a:p>
        <a:p>
          <a:pPr algn="just"/>
          <a:endParaRPr lang="en-GB" altLang="en-US" sz="3600" b="1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  <xdr:twoCellAnchor>
    <xdr:from>
      <xdr:col>23</xdr:col>
      <xdr:colOff>551180</xdr:colOff>
      <xdr:row>10</xdr:row>
      <xdr:rowOff>152400</xdr:rowOff>
    </xdr:from>
    <xdr:to>
      <xdr:col>26</xdr:col>
      <xdr:colOff>273685</xdr:colOff>
      <xdr:row>13</xdr:row>
      <xdr:rowOff>167005</xdr:rowOff>
    </xdr:to>
    <xdr:sp>
      <xdr:nvSpPr>
        <xdr:cNvPr id="8" name="Text Box 7"/>
        <xdr:cNvSpPr txBox="1"/>
      </xdr:nvSpPr>
      <xdr:spPr>
        <a:xfrm rot="10800000" flipV="1">
          <a:off x="14571980" y="2057400"/>
          <a:ext cx="1551305" cy="58610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altLang="en-US" sz="3600" b="1">
              <a:solidFill>
                <a:schemeClr val="accent2">
                  <a:lumMod val="50000"/>
                </a:schemeClr>
              </a:solidFill>
            </a:rPr>
            <a:t>  6,270 </a:t>
          </a:r>
          <a:endParaRPr lang="en-GB" altLang="en-US" sz="3600" b="1">
            <a:solidFill>
              <a:schemeClr val="accent2">
                <a:lumMod val="50000"/>
              </a:schemeClr>
            </a:solidFill>
          </a:endParaRPr>
        </a:p>
        <a:p>
          <a:pPr algn="ctr"/>
          <a:endParaRPr lang="en-GB" altLang="en-US" sz="3600" b="1">
            <a:solidFill>
              <a:schemeClr val="accent2">
                <a:lumMod val="50000"/>
              </a:schemeClr>
            </a:solidFill>
          </a:endParaRPr>
        </a:p>
        <a:p>
          <a:pPr algn="ctr"/>
          <a:endParaRPr lang="en-GB" altLang="en-US" sz="3600" b="1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111125</xdr:colOff>
      <xdr:row>8</xdr:row>
      <xdr:rowOff>136525</xdr:rowOff>
    </xdr:from>
    <xdr:to>
      <xdr:col>10</xdr:col>
      <xdr:colOff>63500</xdr:colOff>
      <xdr:row>10</xdr:row>
      <xdr:rowOff>167005</xdr:rowOff>
    </xdr:to>
    <xdr:sp>
      <xdr:nvSpPr>
        <xdr:cNvPr id="9" name="Text Box 8"/>
        <xdr:cNvSpPr txBox="1"/>
      </xdr:nvSpPr>
      <xdr:spPr>
        <a:xfrm>
          <a:off x="3768725" y="1660525"/>
          <a:ext cx="2390775" cy="41148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altLang="en-GB" sz="2200" b="1">
              <a:solidFill>
                <a:schemeClr val="accent2"/>
              </a:solidFill>
            </a:rPr>
            <a:t>TOTAL REVENUE</a:t>
          </a:r>
          <a:endParaRPr lang="en-US" altLang="en-GB" sz="2200" b="1">
            <a:solidFill>
              <a:schemeClr val="accent2"/>
            </a:solidFill>
          </a:endParaRPr>
        </a:p>
      </xdr:txBody>
    </xdr:sp>
    <xdr:clientData/>
  </xdr:twoCellAnchor>
  <xdr:twoCellAnchor>
    <xdr:from>
      <xdr:col>12</xdr:col>
      <xdr:colOff>168275</xdr:colOff>
      <xdr:row>8</xdr:row>
      <xdr:rowOff>112395</xdr:rowOff>
    </xdr:from>
    <xdr:to>
      <xdr:col>15</xdr:col>
      <xdr:colOff>368300</xdr:colOff>
      <xdr:row>11</xdr:row>
      <xdr:rowOff>47625</xdr:rowOff>
    </xdr:to>
    <xdr:sp>
      <xdr:nvSpPr>
        <xdr:cNvPr id="10" name="Text Box 9"/>
        <xdr:cNvSpPr txBox="1"/>
      </xdr:nvSpPr>
      <xdr:spPr>
        <a:xfrm>
          <a:off x="7483475" y="1636395"/>
          <a:ext cx="2028825" cy="50673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2200" b="1">
              <a:solidFill>
                <a:schemeClr val="accent2"/>
              </a:solidFill>
            </a:rPr>
            <a:t>TOTAL PROFIT</a:t>
          </a:r>
          <a:endParaRPr lang="en-US" altLang="en-GB" sz="2200" b="1">
            <a:solidFill>
              <a:schemeClr val="accent2"/>
            </a:solidFill>
          </a:endParaRPr>
        </a:p>
      </xdr:txBody>
    </xdr:sp>
    <xdr:clientData/>
  </xdr:twoCellAnchor>
  <xdr:twoCellAnchor>
    <xdr:from>
      <xdr:col>17</xdr:col>
      <xdr:colOff>257175</xdr:colOff>
      <xdr:row>8</xdr:row>
      <xdr:rowOff>96520</xdr:rowOff>
    </xdr:from>
    <xdr:to>
      <xdr:col>21</xdr:col>
      <xdr:colOff>573405</xdr:colOff>
      <xdr:row>13</xdr:row>
      <xdr:rowOff>142240</xdr:rowOff>
    </xdr:to>
    <xdr:sp>
      <xdr:nvSpPr>
        <xdr:cNvPr id="11" name="Text Box 10"/>
        <xdr:cNvSpPr txBox="1"/>
      </xdr:nvSpPr>
      <xdr:spPr>
        <a:xfrm>
          <a:off x="10620375" y="1620520"/>
          <a:ext cx="2754630" cy="99822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GB" sz="2200" b="1">
              <a:solidFill>
                <a:schemeClr val="accent2"/>
              </a:solidFill>
            </a:rPr>
            <a:t>AVERAGE ORDER VALUE</a:t>
          </a:r>
          <a:endParaRPr lang="en-US" altLang="en-GB" sz="2200" b="1">
            <a:solidFill>
              <a:schemeClr val="accent2"/>
            </a:solidFill>
          </a:endParaRPr>
        </a:p>
      </xdr:txBody>
    </xdr:sp>
    <xdr:clientData/>
  </xdr:twoCellAnchor>
  <xdr:twoCellAnchor>
    <xdr:from>
      <xdr:col>23</xdr:col>
      <xdr:colOff>34290</xdr:colOff>
      <xdr:row>8</xdr:row>
      <xdr:rowOff>144145</xdr:rowOff>
    </xdr:from>
    <xdr:to>
      <xdr:col>27</xdr:col>
      <xdr:colOff>403225</xdr:colOff>
      <xdr:row>11</xdr:row>
      <xdr:rowOff>0</xdr:rowOff>
    </xdr:to>
    <xdr:sp>
      <xdr:nvSpPr>
        <xdr:cNvPr id="12" name="Text Box 11"/>
        <xdr:cNvSpPr txBox="1"/>
      </xdr:nvSpPr>
      <xdr:spPr>
        <a:xfrm>
          <a:off x="14055090" y="1668145"/>
          <a:ext cx="2807335" cy="42735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GB" sz="2000" b="1">
              <a:solidFill>
                <a:schemeClr val="accent2"/>
              </a:solidFill>
            </a:rPr>
            <a:t>TOTAL QUANTITY SOLD</a:t>
          </a:r>
          <a:endParaRPr lang="en-US" altLang="en-GB" sz="2000" b="1">
            <a:solidFill>
              <a:schemeClr val="accent2"/>
            </a:solidFill>
          </a:endParaRPr>
        </a:p>
      </xdr:txBody>
    </xdr:sp>
    <xdr:clientData/>
  </xdr:twoCellAnchor>
  <xdr:twoCellAnchor>
    <xdr:from>
      <xdr:col>29</xdr:col>
      <xdr:colOff>480060</xdr:colOff>
      <xdr:row>10</xdr:row>
      <xdr:rowOff>128270</xdr:rowOff>
    </xdr:from>
    <xdr:to>
      <xdr:col>32</xdr:col>
      <xdr:colOff>202565</xdr:colOff>
      <xdr:row>13</xdr:row>
      <xdr:rowOff>64135</xdr:rowOff>
    </xdr:to>
    <xdr:sp>
      <xdr:nvSpPr>
        <xdr:cNvPr id="13" name="Text Box 12"/>
        <xdr:cNvSpPr txBox="1"/>
      </xdr:nvSpPr>
      <xdr:spPr>
        <a:xfrm rot="10800000" flipV="1">
          <a:off x="18158460" y="2033270"/>
          <a:ext cx="1551305" cy="50736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altLang="en-US" sz="3600" b="1">
              <a:solidFill>
                <a:schemeClr val="accent2">
                  <a:lumMod val="50000"/>
                </a:schemeClr>
              </a:solidFill>
            </a:rPr>
            <a:t>300 </a:t>
          </a:r>
          <a:endParaRPr lang="en-GB" altLang="en-US" sz="3600" b="1">
            <a:solidFill>
              <a:schemeClr val="accent2">
                <a:lumMod val="50000"/>
              </a:schemeClr>
            </a:solidFill>
          </a:endParaRPr>
        </a:p>
        <a:p>
          <a:pPr algn="ctr"/>
          <a:endParaRPr lang="en-GB" altLang="en-US" sz="3600" b="1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  <xdr:twoCellAnchor>
    <xdr:from>
      <xdr:col>29</xdr:col>
      <xdr:colOff>336550</xdr:colOff>
      <xdr:row>8</xdr:row>
      <xdr:rowOff>127635</xdr:rowOff>
    </xdr:from>
    <xdr:to>
      <xdr:col>32</xdr:col>
      <xdr:colOff>387350</xdr:colOff>
      <xdr:row>11</xdr:row>
      <xdr:rowOff>17145</xdr:rowOff>
    </xdr:to>
    <xdr:sp>
      <xdr:nvSpPr>
        <xdr:cNvPr id="14" name="Text Box 13"/>
        <xdr:cNvSpPr txBox="1"/>
      </xdr:nvSpPr>
      <xdr:spPr>
        <a:xfrm>
          <a:off x="18014950" y="1651635"/>
          <a:ext cx="1879600" cy="46101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2200" b="1">
              <a:solidFill>
                <a:schemeClr val="accent2"/>
              </a:solidFill>
            </a:rPr>
            <a:t>TOTAL ORDER</a:t>
          </a:r>
          <a:endParaRPr lang="en-US" altLang="en-GB" sz="2200" b="1">
            <a:solidFill>
              <a:schemeClr val="accent2"/>
            </a:solidFill>
          </a:endParaRPr>
        </a:p>
      </xdr:txBody>
    </xdr:sp>
    <xdr:clientData/>
  </xdr:twoCellAnchor>
  <xdr:twoCellAnchor>
    <xdr:from>
      <xdr:col>6</xdr:col>
      <xdr:colOff>24765</xdr:colOff>
      <xdr:row>17</xdr:row>
      <xdr:rowOff>174625</xdr:rowOff>
    </xdr:from>
    <xdr:to>
      <xdr:col>32</xdr:col>
      <xdr:colOff>608965</xdr:colOff>
      <xdr:row>37</xdr:row>
      <xdr:rowOff>59690</xdr:rowOff>
    </xdr:to>
    <xdr:graphicFrame>
      <xdr:nvGraphicFramePr>
        <xdr:cNvPr id="15" name="Chart 14"/>
        <xdr:cNvGraphicFramePr/>
      </xdr:nvGraphicFramePr>
      <xdr:xfrm>
        <a:off x="3682365" y="3413125"/>
        <a:ext cx="16433800" cy="3695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237490</xdr:colOff>
      <xdr:row>38</xdr:row>
      <xdr:rowOff>133985</xdr:rowOff>
    </xdr:from>
    <xdr:to>
      <xdr:col>33</xdr:col>
      <xdr:colOff>43180</xdr:colOff>
      <xdr:row>55</xdr:row>
      <xdr:rowOff>3175</xdr:rowOff>
    </xdr:to>
    <xdr:graphicFrame>
      <xdr:nvGraphicFramePr>
        <xdr:cNvPr id="16" name="Chart 15"/>
        <xdr:cNvGraphicFramePr/>
      </xdr:nvGraphicFramePr>
      <xdr:xfrm>
        <a:off x="14867890" y="7372985"/>
        <a:ext cx="5292090" cy="3107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429895</xdr:colOff>
      <xdr:row>38</xdr:row>
      <xdr:rowOff>125730</xdr:rowOff>
    </xdr:from>
    <xdr:to>
      <xdr:col>23</xdr:col>
      <xdr:colOff>379095</xdr:colOff>
      <xdr:row>55</xdr:row>
      <xdr:rowOff>11430</xdr:rowOff>
    </xdr:to>
    <xdr:graphicFrame>
      <xdr:nvGraphicFramePr>
        <xdr:cNvPr id="17" name="Chart 16"/>
        <xdr:cNvGraphicFramePr/>
      </xdr:nvGraphicFramePr>
      <xdr:xfrm>
        <a:off x="9573895" y="7364730"/>
        <a:ext cx="4826000" cy="312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504825</xdr:colOff>
      <xdr:row>56</xdr:row>
      <xdr:rowOff>114935</xdr:rowOff>
    </xdr:from>
    <xdr:to>
      <xdr:col>33</xdr:col>
      <xdr:colOff>120650</xdr:colOff>
      <xdr:row>73</xdr:row>
      <xdr:rowOff>80010</xdr:rowOff>
    </xdr:to>
    <xdr:graphicFrame>
      <xdr:nvGraphicFramePr>
        <xdr:cNvPr id="18" name="Chart 17"/>
        <xdr:cNvGraphicFramePr/>
      </xdr:nvGraphicFramePr>
      <xdr:xfrm>
        <a:off x="12087225" y="10782935"/>
        <a:ext cx="8150225" cy="3203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77470</xdr:colOff>
      <xdr:row>51</xdr:row>
      <xdr:rowOff>124460</xdr:rowOff>
    </xdr:from>
    <xdr:to>
      <xdr:col>5</xdr:col>
      <xdr:colOff>492760</xdr:colOff>
      <xdr:row>73</xdr:row>
      <xdr:rowOff>88265</xdr:rowOff>
    </xdr:to>
    <xdr:graphicFrame>
      <xdr:nvGraphicFramePr>
        <xdr:cNvPr id="19" name="Chart 18"/>
        <xdr:cNvGraphicFramePr/>
      </xdr:nvGraphicFramePr>
      <xdr:xfrm>
        <a:off x="77470" y="9839960"/>
        <a:ext cx="3463290" cy="4154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606425</xdr:colOff>
      <xdr:row>38</xdr:row>
      <xdr:rowOff>118110</xdr:rowOff>
    </xdr:from>
    <xdr:to>
      <xdr:col>14</xdr:col>
      <xdr:colOff>571500</xdr:colOff>
      <xdr:row>55</xdr:row>
      <xdr:rowOff>19685</xdr:rowOff>
    </xdr:to>
    <xdr:graphicFrame>
      <xdr:nvGraphicFramePr>
        <xdr:cNvPr id="20" name="Chart 19"/>
        <xdr:cNvGraphicFramePr/>
      </xdr:nvGraphicFramePr>
      <xdr:xfrm>
        <a:off x="3654425" y="7357110"/>
        <a:ext cx="5451475" cy="3140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48895</xdr:colOff>
      <xdr:row>56</xdr:row>
      <xdr:rowOff>111125</xdr:rowOff>
    </xdr:from>
    <xdr:to>
      <xdr:col>19</xdr:col>
      <xdr:colOff>266700</xdr:colOff>
      <xdr:row>73</xdr:row>
      <xdr:rowOff>76200</xdr:rowOff>
    </xdr:to>
    <xdr:graphicFrame>
      <xdr:nvGraphicFramePr>
        <xdr:cNvPr id="21" name="Chart 20"/>
        <xdr:cNvGraphicFramePr/>
      </xdr:nvGraphicFramePr>
      <xdr:xfrm>
        <a:off x="3706495" y="10779125"/>
        <a:ext cx="8142605" cy="3203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0</xdr:col>
      <xdr:colOff>323215</xdr:colOff>
      <xdr:row>11</xdr:row>
      <xdr:rowOff>73025</xdr:rowOff>
    </xdr:from>
    <xdr:to>
      <xdr:col>4</xdr:col>
      <xdr:colOff>323215</xdr:colOff>
      <xdr:row>18</xdr:row>
      <xdr:rowOff>111760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3" name="DATE"/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3215" y="2168525"/>
              <a:ext cx="2438400" cy="13722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 fLocksWithSheet="0"/>
  </xdr:twoCellAnchor>
  <xdr:twoCellAnchor editAs="absolute">
    <xdr:from>
      <xdr:col>0</xdr:col>
      <xdr:colOff>323215</xdr:colOff>
      <xdr:row>26</xdr:row>
      <xdr:rowOff>136525</xdr:rowOff>
    </xdr:from>
    <xdr:to>
      <xdr:col>4</xdr:col>
      <xdr:colOff>323215</xdr:colOff>
      <xdr:row>35</xdr:row>
      <xdr:rowOff>179070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4" name="CITY"/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3215" y="5089525"/>
              <a:ext cx="2438400" cy="17570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 fLocksWithSheet="0"/>
  </xdr:twoCellAnchor>
  <xdr:twoCellAnchor editAs="absolute">
    <xdr:from>
      <xdr:col>0</xdr:col>
      <xdr:colOff>323215</xdr:colOff>
      <xdr:row>20</xdr:row>
      <xdr:rowOff>31750</xdr:rowOff>
    </xdr:from>
    <xdr:to>
      <xdr:col>4</xdr:col>
      <xdr:colOff>323215</xdr:colOff>
      <xdr:row>25</xdr:row>
      <xdr:rowOff>26035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5" name="CUSTOMER TYPE"/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3215" y="3841750"/>
              <a:ext cx="2438400" cy="9467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 fLocksWithSheet="0"/>
  </xdr:twoCellAnchor>
  <xdr:twoCellAnchor editAs="absolute">
    <xdr:from>
      <xdr:col>0</xdr:col>
      <xdr:colOff>323215</xdr:colOff>
      <xdr:row>37</xdr:row>
      <xdr:rowOff>99060</xdr:rowOff>
    </xdr:from>
    <xdr:to>
      <xdr:col>4</xdr:col>
      <xdr:colOff>323215</xdr:colOff>
      <xdr:row>47</xdr:row>
      <xdr:rowOff>93345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6" name="CATEGORY"/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3215" y="7147560"/>
              <a:ext cx="2438400" cy="18992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 fLocksWithSheet="0"/>
  </xdr:twoCellAnchor>
  <xdr:twoCellAnchor editAs="oneCell">
    <xdr:from>
      <xdr:col>0</xdr:col>
      <xdr:colOff>317500</xdr:colOff>
      <xdr:row>3</xdr:row>
      <xdr:rowOff>29845</xdr:rowOff>
    </xdr:from>
    <xdr:to>
      <xdr:col>4</xdr:col>
      <xdr:colOff>351790</xdr:colOff>
      <xdr:row>10</xdr:row>
      <xdr:rowOff>96520</xdr:rowOff>
    </xdr:to>
    <xdr:pic>
      <xdr:nvPicPr>
        <xdr:cNvPr id="22" name="Picture 21" descr="King Ton Logo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17500" y="601345"/>
          <a:ext cx="2472690" cy="1400175"/>
        </a:xfrm>
        <a:prstGeom prst="rect">
          <a:avLst/>
        </a:prstGeom>
        <a:effectLst>
          <a:softEdge rad="63500"/>
        </a:effec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8.485462963" refreshedBy="speed" recordCount="300">
  <cacheSource type="worksheet">
    <worksheetSource ref="A1:N301" sheet="SALES ANALYSIS "/>
  </cacheSource>
  <cacheFields count="14">
    <cacheField name="INVOICE No." numFmtId="0">
      <sharedItems containsSemiMixedTypes="0" containsString="0" containsNumber="1" containsInteger="1" minValue="0" maxValue="6962" count="300"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</sharedItems>
    </cacheField>
    <cacheField name="DATE" numFmtId="0">
      <sharedItems containsSemiMixedTypes="0" containsString="0" containsNonDate="0" containsDate="1" minDate="2026-05-03T00:00:00" maxDate="2026-08-30T00:00:00" count="95">
        <d v="2026-07-07T00:00:00"/>
        <d v="2026-08-03T00:00:00"/>
        <d v="2026-08-21T00:00:00"/>
        <d v="2026-07-06T00:00:00"/>
        <d v="2026-07-23T00:00:00"/>
        <d v="2026-08-02T00:00:00"/>
        <d v="2026-07-27T00:00:00"/>
        <d v="2026-08-06T00:00:00"/>
        <d v="2026-08-26T00:00:00"/>
        <d v="2026-08-01T00:00:00"/>
        <d v="2026-08-08T00:00:00"/>
        <d v="2026-08-11T00:00:00"/>
        <d v="2026-07-18T00:00:00"/>
        <d v="2026-08-12T00:00:00"/>
        <d v="2026-07-30T00:00:00"/>
        <d v="2026-07-25T00:00:00"/>
        <d v="2026-08-20T00:00:00"/>
        <d v="2026-08-16T00:00:00"/>
        <d v="2026-08-04T00:00:00"/>
        <d v="2026-07-05T00:00:00"/>
        <d v="2026-07-03T00:00:00"/>
        <d v="2026-08-09T00:00:00"/>
        <d v="2026-07-24T00:00:00"/>
        <d v="2026-08-19T00:00:00"/>
        <d v="2026-08-28T00:00:00"/>
        <d v="2026-07-09T00:00:00"/>
        <d v="2026-08-27T00:00:00"/>
        <d v="2026-08-30T00:00:00"/>
        <d v="2026-07-13T00:00:00"/>
        <d v="2026-07-08T00:00:00"/>
        <d v="2026-07-29T00:00:00"/>
        <d v="2026-07-12T00:00:00"/>
        <d v="2026-08-13T00:00:00"/>
        <d v="2026-07-22T00:00:00"/>
        <d v="2026-08-05T00:00:00"/>
        <d v="2026-07-26T00:00:00"/>
        <d v="2026-07-14T00:00:00"/>
        <d v="2026-07-17T00:00:00"/>
        <d v="2026-08-07T00:00:00"/>
        <d v="2026-07-21T00:00:00"/>
        <d v="2026-08-29T00:00:00"/>
        <d v="2026-08-22T00:00:00"/>
        <d v="2026-07-02T00:00:00"/>
        <d v="2026-08-14T00:00:00"/>
        <d v="2026-08-17T00:00:00"/>
        <d v="2026-08-23T00:00:00"/>
        <d v="2026-08-24T00:00:00"/>
        <d v="2026-07-16T00:00:00"/>
        <d v="2026-07-15T00:00:00"/>
        <d v="2026-08-10T00:00:00"/>
        <d v="2026-07-04T00:00:00"/>
        <d v="2026-08-18T00:00:00"/>
        <d v="2026-07-11T00:00:00"/>
        <d v="2026-07-28T00:00:00"/>
        <d v="2026-07-01T00:00:00"/>
        <d v="2026-07-20T00:00:00"/>
        <d v="2026-08-15T00:00:00"/>
        <d v="2026-07-19T00:00:00"/>
        <d v="2026-08-25T00:00:00"/>
        <d v="2026-07-31T00:00:00"/>
        <d v="2026-07-10T00:00:00"/>
        <d v="2026-05-23T00:00:00"/>
        <d v="2026-06-11T00:00:00"/>
        <d v="2026-06-19T00:00:00"/>
        <d v="2026-05-16T00:00:00"/>
        <d v="2026-05-28T00:00:00"/>
        <d v="2026-06-01T00:00:00"/>
        <d v="2026-05-14T00:00:00"/>
        <d v="2026-06-25T00:00:00"/>
        <d v="2026-06-10T00:00:00"/>
        <d v="2026-06-15T00:00:00"/>
        <d v="2026-05-09T00:00:00"/>
        <d v="2026-05-26T00:00:00"/>
        <d v="2026-06-22T00:00:00"/>
        <d v="2026-05-06T00:00:00"/>
        <d v="2026-06-28T00:00:00"/>
        <d v="2026-06-14T00:00:00"/>
        <d v="2026-06-21T00:00:00"/>
        <d v="2026-06-18T00:00:00"/>
        <d v="2026-06-03T00:00:00"/>
        <d v="2026-05-22T00:00:00"/>
        <d v="2026-06-08T00:00:00"/>
        <d v="2026-05-30T00:00:00"/>
        <d v="2026-06-29T00:00:00"/>
        <d v="2026-06-09T00:00:00"/>
        <d v="2026-06-07T00:00:00"/>
        <d v="2026-05-25T00:00:00"/>
        <d v="2026-05-29T00:00:00"/>
        <d v="2026-06-23T00:00:00"/>
        <d v="2026-05-12T00:00:00"/>
        <d v="2026-05-18T00:00:00"/>
        <d v="2026-05-27T00:00:00"/>
        <d v="2026-05-03T00:00:00"/>
        <d v="2026-06-30T00:00:00"/>
        <d v="2026-05-13T00:00:00"/>
      </sharedItems>
      <fieldGroup base="1">
        <rangePr groupBy="months" startDate="2026-05-03T00:00:00" endDate="2026-08-30T00:00:00" groupInterval="1"/>
        <groupItems count="14">
          <s v="&lt;5/3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30/2026"/>
        </groupItems>
      </fieldGroup>
    </cacheField>
    <cacheField name="CITY" numFmtId="0">
      <sharedItems count="5">
        <s v="SAPELE"/>
        <s v="WARRI"/>
        <s v="AGBARO"/>
        <s v="UGHELLI"/>
        <s v="OGHULA"/>
      </sharedItems>
    </cacheField>
    <cacheField name="CUSTOMER TYPE" numFmtId="0">
      <sharedItems count="2">
        <s v="NORMAL"/>
        <s v="MEMEBER"/>
      </sharedItems>
    </cacheField>
    <cacheField name="PRODUCT ID" numFmtId="0">
      <sharedItems count="86">
        <s v="P042"/>
        <s v="P001"/>
        <s v="P047"/>
        <s v="P062"/>
        <s v="P039"/>
        <s v="P054"/>
        <s v="P030"/>
        <s v="P063"/>
        <s v="P022"/>
        <s v="P017"/>
        <s v="P057"/>
        <s v="P016"/>
        <s v="P015"/>
        <s v="P008"/>
        <s v="P019"/>
        <s v="P009"/>
        <s v="P024"/>
        <s v="P032"/>
        <s v="P034"/>
        <s v="P002"/>
        <s v="P010"/>
        <s v="P020"/>
        <s v="P025"/>
        <s v="P021"/>
        <s v="P044"/>
        <s v="P036"/>
        <s v="P045"/>
        <s v="P037"/>
        <s v="P018"/>
        <s v="P005"/>
        <s v="P056"/>
        <s v="P023"/>
        <s v="P048"/>
        <s v="P043"/>
        <s v="P064"/>
        <s v="P004"/>
        <s v="P029"/>
        <s v="P038"/>
        <s v="P033"/>
        <s v="P026"/>
        <s v="P011"/>
        <s v="P006"/>
        <s v="P040"/>
        <s v="P059"/>
        <s v="P012"/>
        <s v="P052"/>
        <s v="P031"/>
        <s v="P027"/>
        <s v="P013"/>
        <s v="P014"/>
        <s v="P049"/>
        <s v="P060"/>
        <s v="P050"/>
        <s v="P053"/>
        <s v="P046"/>
        <s v="P041"/>
        <s v="P061"/>
        <s v="P028"/>
        <s v="P035"/>
        <s v="P058"/>
        <s v="P066"/>
        <s v="P055"/>
        <s v="P069"/>
        <s v="P067"/>
        <s v="P095"/>
        <s v="P094"/>
        <s v="P065"/>
        <s v="P074"/>
        <s v="P102"/>
        <s v="P089"/>
        <s v="P090"/>
        <s v="P073"/>
        <s v="P105"/>
        <s v="P098"/>
        <s v="P106"/>
        <s v="P093"/>
        <s v="P070"/>
        <s v="P096"/>
        <s v="P076"/>
        <s v="P085"/>
        <s v="P081"/>
        <s v="P068"/>
        <s v="P079"/>
        <s v="P078"/>
        <s v="P099"/>
        <s v="P087"/>
      </sharedItems>
    </cacheField>
    <cacheField name="PRODUCT NAME" numFmtId="0">
      <sharedItems count="86">
        <s v="OPTICAL CABLE (1.5m)"/>
        <s v="3 TO 3 AV (1.5m) WIRE"/>
        <s v="13 AMPS DOUBLE SOCKET BENJOR"/>
        <s v="777 9v BATTERY"/>
        <s v="USB TO FEMALE USB (1.5m) CORD"/>
        <s v="BENJOR MULTI WITH SWITCH"/>
        <s v="DC TO DC MALE (3m) WIRE"/>
        <s v="HI/WATT 9v BATTERY"/>
        <s v="4K HDMI (50m) WIRE"/>
        <s v="HDMI (30m) WIRE"/>
        <s v="BENJOR EXTENTION 3 MOUTH"/>
        <s v="HDMI (20m) WIRE"/>
        <s v="HDMI (15m) WIRE"/>
        <s v="3 TO 3 AV (5m) WIRE"/>
        <s v="4K HDMI (5m) WIRE"/>
        <s v="3 TO 3 AV (10m) WIRE"/>
        <s v="BLUE 4K HDMI (1.5m) WIRE"/>
        <s v="DC TO FEMALE DC (1.5) WIRE"/>
        <s v="KAPU WIRE"/>
        <s v="2 TO 2 AV (1.5m) WIRE"/>
        <s v="3 TO 3 AV (15m) WIRE"/>
        <s v="4K HDMI (10m) WIRE"/>
        <s v="BLUE 4K HDMI (3m) WIRE"/>
        <s v="4K HDMI (20m) WIRE"/>
        <s v="13 AMPS PLUG HEAD BENJOR"/>
        <s v="CAT 6 WIRE"/>
        <s v="15 AMPS PLUG HEAD BENJOR"/>
        <s v="CAT 4 WIRE"/>
        <s v="HDMI (50m) WIRE"/>
        <s v="AUX TO JACK (1.5m) WIRE"/>
        <s v="MULTI (APC) EXTENTION 6 MOUTH"/>
        <s v="4K HDMI (100m) WIRE"/>
        <s v="13 AMPS SINGLE SOCKET NEW"/>
        <s v="OPTICAL CABLE (3m)"/>
        <s v="POWER PEAK 9v BATTERY"/>
        <s v="1 TO 1 AUX (1.5m) WIRE"/>
        <s v="DC TO DC MALE (1.5m) WIRE"/>
        <s v="USB TO USB CORD (1.5m)"/>
        <s v="SNAKE (Tiny) WIRE"/>
        <s v="BLUE 4K HDMI (5m) WIRE"/>
        <s v="HDMI (1.5m) WIRE"/>
        <s v="JACK TO JACK (1.5m) WIRE"/>
        <s v="USB TO PRINTER CABLE (1.5m)"/>
        <s v="BENJOR EXTENTION 6 MOUTH"/>
        <s v="HDMI (3m) WIRE"/>
        <s v="A&amp;Z MULTI "/>
        <s v="DC TO DC MALE (5m) WIRE"/>
        <s v="BLUE 4K HDMI (10m) WIRE"/>
        <s v="HDMI (5m) WIRE"/>
        <s v="HDMI (10m) WIRE "/>
        <s v="13 AMPS DOUBLE SOCKET NEW"/>
        <s v="BENJOR EXTENTION 8 MOUTH"/>
        <s v="BIG GENERATOR PLUG HEAD"/>
        <s v="ORANGE MULTI"/>
        <s v="13 AMPS SINGLE SOCKET BENJOR"/>
        <s v="FEMLE TO FEMALE USB (1.5m)"/>
        <s v="SOLDERING PASTE"/>
        <s v="BLUE 4K HDMI (15m) WIRE"/>
        <s v="ORIGINAL SPEAKER WIRE"/>
        <s v="BENJOR EXTENTION 5 MOUTH"/>
        <s v="RAYMAX AAA BATTERY"/>
        <s v="MULTI EXTENTION 6 MOUTH"/>
        <s v="PANASONIC AA BATTERY"/>
        <s v="TIGER HEAD AA BATTERY"/>
        <s v="AVS 30 AMPS SURGE"/>
        <s v="AVS 20 AMPS SURGE"/>
        <s v="RAYMAX AA BATTERY"/>
        <s v="7.4V LITHIUM 3 IN 1"/>
        <s v="(BIG) GUM GUN"/>
        <s v="QASA 12V 5AH"/>
        <s v="QASA 12V 7AH"/>
        <s v="7.4V LITHIUM DOUBLE BATTERY"/>
        <s v="GUN GUM (SMALL)"/>
        <s v="STONE-TECH DIGITAL SURGE 13 AMPS SURGE"/>
        <s v="INDUSTRIAL BLENDER PLATE"/>
        <s v="AVS 15 AMPS SURGE"/>
        <s v="3.7V LITHIUM SINGLE BATTERY"/>
        <s v="TV-FRIDGE SURGE"/>
        <s v="11.1  LITHIUM 6 IN 1"/>
        <s v="UBEC 12V 5AH"/>
        <s v="SUNCA 6V 4.5 AH"/>
        <s v="TIGER AAA BATTERY"/>
        <s v="UBEC 12V 7AH"/>
        <s v="UBEC 6V 5AH"/>
        <s v="STONE-TECH DIGITAL SURGE 20 AMPS SURGE"/>
        <s v="SONIK 12V 7AH"/>
      </sharedItems>
    </cacheField>
    <cacheField name="CATEGORY" numFmtId="0">
      <sharedItems count="6">
        <s v="WIRE"/>
        <s v="ELECTRICAL"/>
        <s v="BATTERY"/>
        <s v="TOOL"/>
        <s v="SURGE"/>
        <s v="BLENDER"/>
      </sharedItems>
    </cacheField>
    <cacheField name="COST PRICE" numFmtId="181">
      <sharedItems containsSemiMixedTypes="0" containsString="0" containsNumber="1" containsInteger="1" minValue="0" maxValue="150000" count="26">
        <n v="1500"/>
        <n v="600"/>
        <n v="2500"/>
        <n v="250"/>
        <n v="1000"/>
        <n v="500"/>
        <n v="30000"/>
        <n v="10000"/>
        <n v="2000"/>
        <n v="4000"/>
        <n v="3000"/>
        <n v="1200"/>
        <n v="60000"/>
        <n v="5000"/>
        <n v="20000"/>
        <n v="80000"/>
        <n v="800"/>
        <n v="12000"/>
        <n v="15000"/>
        <n v="7000"/>
        <n v="3500"/>
        <n v="6000"/>
        <n v="700"/>
        <n v="200"/>
        <n v="150000"/>
        <n v="8000"/>
      </sharedItems>
    </cacheField>
    <cacheField name="QUANTITY SOLD" numFmtId="0">
      <sharedItems containsSemiMixedTypes="0" containsString="0" containsNumber="1" containsInteger="1" minValue="0" maxValue="25" count="9">
        <n v="17"/>
        <n v="20"/>
        <n v="21"/>
        <n v="18"/>
        <n v="24"/>
        <n v="25"/>
        <n v="22"/>
        <n v="23"/>
        <n v="19"/>
      </sharedItems>
    </cacheField>
    <cacheField name="SELLING PRICE" numFmtId="181">
      <sharedItems containsSemiMixedTypes="0" containsString="0" containsNumber="1" containsInteger="1" minValue="0" maxValue="240000" count="24">
        <n v="3500"/>
        <n v="1500"/>
        <n v="5000"/>
        <n v="500"/>
        <n v="3000"/>
        <n v="1000"/>
        <n v="45000"/>
        <n v="15000"/>
        <n v="7000"/>
        <n v="12000"/>
        <n v="8000"/>
        <n v="2500"/>
        <n v="100000"/>
        <n v="6000"/>
        <n v="25000"/>
        <n v="110000"/>
        <n v="20000"/>
        <n v="4000"/>
        <n v="30000"/>
        <n v="2000"/>
        <n v="240000"/>
        <n v="16000"/>
        <n v="18000"/>
        <n v="4500"/>
      </sharedItems>
    </cacheField>
    <cacheField name="COGS" numFmtId="181">
      <sharedItems containsSemiMixedTypes="0" containsString="0" containsNumber="1" containsInteger="1" minValue="0" maxValue="3000000" count="140">
        <n v="25500"/>
        <n v="10200"/>
        <n v="42500"/>
        <n v="5000"/>
        <n v="52500"/>
        <n v="21000"/>
        <n v="10000"/>
        <n v="5250"/>
        <n v="540000"/>
        <n v="240000"/>
        <n v="50000"/>
        <n v="44000"/>
        <n v="92000"/>
        <n v="69000"/>
        <n v="28800"/>
        <n v="28500"/>
        <n v="5500"/>
        <n v="11000"/>
        <n v="1500000"/>
        <n v="55000"/>
        <n v="60000"/>
        <n v="110000"/>
        <n v="11500"/>
        <n v="9000"/>
        <n v="51000"/>
        <n v="440000"/>
        <n v="600000"/>
        <n v="88000"/>
        <n v="11400"/>
        <n v="14400"/>
        <n v="1760000"/>
        <n v="13600"/>
        <n v="204000"/>
        <n v="345000"/>
        <n v="33000"/>
        <n v="147000"/>
        <n v="1320000"/>
        <n v="1680000"/>
        <n v="4250"/>
        <n v="12000"/>
        <n v="6250"/>
        <n v="1020000"/>
        <n v="42000"/>
        <n v="24000"/>
        <n v="460000"/>
        <n v="59500"/>
        <n v="5750"/>
        <n v="17600"/>
        <n v="4500"/>
        <n v="120000"/>
        <n v="13800"/>
        <n v="47500"/>
        <n v="48000"/>
        <n v="12500"/>
        <n v="108000"/>
        <n v="34500"/>
        <n v="19000"/>
        <n v="13200"/>
        <n v="161000"/>
        <n v="15400"/>
        <n v="36000"/>
        <n v="45000"/>
        <n v="102000"/>
        <n v="75000"/>
        <n v="285000"/>
        <n v="66000"/>
        <n v="18400"/>
        <n v="154000"/>
        <n v="22800"/>
        <n v="57500"/>
        <n v="37500"/>
        <n v="38000"/>
        <n v="20000"/>
        <n v="1380000"/>
        <n v="150000"/>
        <n v="132000"/>
        <n v="380000"/>
        <n v="3800"/>
        <n v="400000"/>
        <n v="10800"/>
        <n v="12600"/>
        <n v="80500"/>
        <n v="210000"/>
        <n v="10500"/>
        <n v="100000"/>
        <n v="690000"/>
        <n v="144000"/>
        <n v="1440000"/>
        <n v="18000"/>
        <n v="15200"/>
        <n v="17000"/>
        <n v="30000"/>
        <n v="9500"/>
        <n v="720000"/>
        <n v="16800"/>
        <n v="4800"/>
        <n v="90000"/>
        <n v="114000"/>
        <n v="3600"/>
        <n v="11900"/>
        <n v="27000"/>
        <n v="126000"/>
        <n v="54000"/>
        <n v="8500"/>
        <n v="14000"/>
        <n v="27600"/>
        <n v="315000"/>
        <n v="170000"/>
        <n v="228000"/>
        <n v="63000"/>
        <n v="31500"/>
        <n v="3000000"/>
        <n v="133000"/>
        <n v="77000"/>
        <n v="360000"/>
        <n v="62500"/>
        <n v="288000"/>
        <n v="95000"/>
        <n v="340000"/>
        <n v="140000"/>
        <n v="1200000"/>
        <n v="15000"/>
        <n v="66500"/>
        <n v="40000"/>
        <n v="4200"/>
        <n v="119000"/>
        <n v="200000"/>
        <n v="25000"/>
        <n v="168000"/>
        <n v="4000"/>
        <n v="23000"/>
        <n v="125000"/>
        <n v="3400"/>
        <n v="105000"/>
        <n v="14700"/>
        <n v="375000"/>
        <n v="184000"/>
        <n v="84000"/>
        <n v="76000"/>
        <n v="252000"/>
      </sharedItems>
    </cacheField>
    <cacheField name="REVENUE" numFmtId="181">
      <sharedItems containsSemiMixedTypes="0" containsString="0" containsNumber="1" containsInteger="1" minValue="0" maxValue="4800000" count="116">
        <n v="59500"/>
        <n v="25500"/>
        <n v="85000"/>
        <n v="10000"/>
        <n v="105000"/>
        <n v="63000"/>
        <n v="20000"/>
        <n v="10500"/>
        <n v="810000"/>
        <n v="360000"/>
        <n v="175000"/>
        <n v="154000"/>
        <n v="276000"/>
        <n v="184000"/>
        <n v="60000"/>
        <n v="66500"/>
        <n v="11000"/>
        <n v="51000"/>
        <n v="33000"/>
        <n v="2500000"/>
        <n v="22000"/>
        <n v="110000"/>
        <n v="120000"/>
        <n v="330000"/>
        <n v="23000"/>
        <n v="27000"/>
        <n v="102000"/>
        <n v="550000"/>
        <n v="900000"/>
        <n v="264000"/>
        <n v="19000"/>
        <n v="36000"/>
        <n v="2420000"/>
        <n v="340000"/>
        <n v="460000"/>
        <n v="66000"/>
        <n v="24000"/>
        <n v="252000"/>
        <n v="2200000"/>
        <n v="2310000"/>
        <n v="8500"/>
        <n v="30000"/>
        <n v="12500"/>
        <n v="1700000"/>
        <n v="84000"/>
        <n v="50000"/>
        <n v="690000"/>
        <n v="136000"/>
        <n v="11500"/>
        <n v="9000"/>
        <n v="34500"/>
        <n v="95000"/>
        <n v="168000"/>
        <n v="25000"/>
        <n v="216000"/>
        <n v="80500"/>
        <n v="57000"/>
        <n v="44000"/>
        <n v="90000"/>
        <n v="204000"/>
        <n v="200000"/>
        <n v="380000"/>
        <n v="176000"/>
        <n v="47500"/>
        <n v="115000"/>
        <n v="62500"/>
        <n v="76000"/>
        <n v="37500"/>
        <n v="2300000"/>
        <n v="300000"/>
        <n v="570000"/>
        <n v="9500"/>
        <n v="600000"/>
        <n v="18000"/>
        <n v="315000"/>
        <n v="21000"/>
        <n v="400000"/>
        <n v="1035000"/>
        <n v="288000"/>
        <n v="1980000"/>
        <n v="31500"/>
        <n v="54000"/>
        <n v="28500"/>
        <n v="132000"/>
        <n v="2400000"/>
        <n v="1080000"/>
        <n v="12000"/>
        <n v="345000"/>
        <n v="270000"/>
        <n v="228000"/>
        <n v="34000"/>
        <n v="144000"/>
        <n v="57500"/>
        <n v="420000"/>
        <n v="255000"/>
        <n v="4800000"/>
        <n v="17000"/>
        <n v="285000"/>
        <n v="480000"/>
        <n v="125000"/>
        <n v="510000"/>
        <n v="240000"/>
        <n v="2000000"/>
        <n v="152000"/>
        <n v="140000"/>
        <n v="160000"/>
        <n v="138000"/>
        <n v="108000"/>
        <n v="304000"/>
        <n v="88000"/>
        <n v="100000"/>
        <n v="38000"/>
        <n v="500000"/>
        <n v="70000"/>
        <n v="320000"/>
        <n v="378000"/>
      </sharedItems>
    </cacheField>
    <cacheField name="TOTAL PROFIT" numFmtId="181">
      <sharedItems containsSemiMixedTypes="0" containsString="0" containsNumber="1" containsInteger="1" minValue="0" maxValue="1800000" count="133">
        <n v="34000"/>
        <n v="15300"/>
        <n v="42500"/>
        <n v="5000"/>
        <n v="52500"/>
        <n v="42000"/>
        <n v="10000"/>
        <n v="5250"/>
        <n v="270000"/>
        <n v="120000"/>
        <n v="125000"/>
        <n v="110000"/>
        <n v="184000"/>
        <n v="115000"/>
        <n v="31200"/>
        <n v="38000"/>
        <n v="5500"/>
        <n v="25500"/>
        <n v="22000"/>
        <n v="1000000"/>
        <n v="11000"/>
        <n v="55000"/>
        <n v="60000"/>
        <n v="220000"/>
        <n v="11500"/>
        <n v="18000"/>
        <n v="51000"/>
        <n v="300000"/>
        <n v="176000"/>
        <n v="7600"/>
        <n v="21600"/>
        <n v="660000"/>
        <n v="11900"/>
        <n v="136000"/>
        <n v="33000"/>
        <n v="9600"/>
        <n v="105000"/>
        <n v="880000"/>
        <n v="630000"/>
        <n v="4250"/>
        <n v="12000"/>
        <n v="6250"/>
        <n v="680000"/>
        <n v="26000"/>
        <n v="230000"/>
        <n v="76500"/>
        <n v="5750"/>
        <n v="15400"/>
        <n v="4500"/>
        <n v="240000"/>
        <n v="8000"/>
        <n v="20700"/>
        <n v="47500"/>
        <n v="12500"/>
        <n v="108000"/>
        <n v="46000"/>
        <n v="19800"/>
        <n v="28600"/>
        <n v="48000"/>
        <n v="45000"/>
        <n v="102000"/>
        <n v="95000"/>
        <n v="16100"/>
        <n v="24700"/>
        <n v="57500"/>
        <n v="25000"/>
        <n v="17500"/>
        <n v="920000"/>
        <n v="150000"/>
        <n v="132000"/>
        <n v="190000"/>
        <n v="5700"/>
        <n v="200000"/>
        <n v="16200"/>
        <n v="5400"/>
        <n v="12600"/>
        <n v="103500"/>
        <n v="10500"/>
        <n v="160000"/>
        <n v="9000"/>
        <n v="345000"/>
        <n v="144000"/>
        <n v="540000"/>
        <n v="21000"/>
        <n v="36000"/>
        <n v="6600"/>
        <n v="13300"/>
        <n v="17100"/>
        <n v="8400"/>
        <n v="20000"/>
        <n v="66000"/>
        <n v="960000"/>
        <n v="9500"/>
        <n v="360000"/>
        <n v="14700"/>
        <n v="7200"/>
        <n v="180000"/>
        <n v="114000"/>
        <n v="22100"/>
        <n v="126000"/>
        <n v="90000"/>
        <n v="17000"/>
        <n v="6000"/>
        <n v="29900"/>
        <n v="85000"/>
        <n v="152000"/>
        <n v="81000"/>
        <n v="31500"/>
        <n v="1800000"/>
        <n v="8500"/>
        <n v="99000"/>
        <n v="62500"/>
        <n v="192000"/>
        <n v="32500"/>
        <n v="170000"/>
        <n v="100000"/>
        <n v="6800"/>
        <n v="800000"/>
        <n v="27000"/>
        <n v="85500"/>
        <n v="69000"/>
        <n v="92000"/>
        <n v="6300"/>
        <n v="54000"/>
        <n v="209000"/>
        <n v="275000"/>
        <n v="50000"/>
        <n v="19000"/>
        <n v="5100"/>
        <n v="210000"/>
        <n v="40000"/>
        <n v="80000"/>
        <n v="84000"/>
      </sharedItems>
    </cacheField>
    <cacheField name="PAYMENT METHOD" numFmtId="0">
      <sharedItems count="3">
        <s v="CASH"/>
        <s v="POS"/>
        <s v="TRANSFER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0"/>
    <x v="1"/>
    <x v="1"/>
    <x v="1"/>
    <x v="1"/>
    <x v="1"/>
  </r>
  <r>
    <x v="2"/>
    <x v="2"/>
    <x v="1"/>
    <x v="0"/>
    <x v="2"/>
    <x v="2"/>
    <x v="1"/>
    <x v="2"/>
    <x v="0"/>
    <x v="2"/>
    <x v="2"/>
    <x v="2"/>
    <x v="2"/>
    <x v="1"/>
  </r>
  <r>
    <x v="3"/>
    <x v="3"/>
    <x v="1"/>
    <x v="0"/>
    <x v="3"/>
    <x v="3"/>
    <x v="2"/>
    <x v="3"/>
    <x v="1"/>
    <x v="3"/>
    <x v="3"/>
    <x v="3"/>
    <x v="3"/>
    <x v="2"/>
  </r>
  <r>
    <x v="4"/>
    <x v="4"/>
    <x v="2"/>
    <x v="1"/>
    <x v="4"/>
    <x v="4"/>
    <x v="0"/>
    <x v="2"/>
    <x v="2"/>
    <x v="2"/>
    <x v="4"/>
    <x v="4"/>
    <x v="4"/>
    <x v="2"/>
  </r>
  <r>
    <x v="5"/>
    <x v="5"/>
    <x v="2"/>
    <x v="1"/>
    <x v="5"/>
    <x v="5"/>
    <x v="1"/>
    <x v="4"/>
    <x v="2"/>
    <x v="4"/>
    <x v="5"/>
    <x v="5"/>
    <x v="5"/>
    <x v="1"/>
  </r>
  <r>
    <x v="6"/>
    <x v="6"/>
    <x v="1"/>
    <x v="0"/>
    <x v="6"/>
    <x v="6"/>
    <x v="0"/>
    <x v="5"/>
    <x v="1"/>
    <x v="5"/>
    <x v="6"/>
    <x v="6"/>
    <x v="6"/>
    <x v="1"/>
  </r>
  <r>
    <x v="7"/>
    <x v="7"/>
    <x v="1"/>
    <x v="0"/>
    <x v="7"/>
    <x v="7"/>
    <x v="2"/>
    <x v="3"/>
    <x v="2"/>
    <x v="3"/>
    <x v="7"/>
    <x v="7"/>
    <x v="7"/>
    <x v="1"/>
  </r>
  <r>
    <x v="8"/>
    <x v="8"/>
    <x v="2"/>
    <x v="1"/>
    <x v="5"/>
    <x v="5"/>
    <x v="1"/>
    <x v="4"/>
    <x v="2"/>
    <x v="4"/>
    <x v="5"/>
    <x v="5"/>
    <x v="5"/>
    <x v="1"/>
  </r>
  <r>
    <x v="9"/>
    <x v="9"/>
    <x v="1"/>
    <x v="0"/>
    <x v="8"/>
    <x v="8"/>
    <x v="0"/>
    <x v="6"/>
    <x v="3"/>
    <x v="6"/>
    <x v="8"/>
    <x v="8"/>
    <x v="8"/>
    <x v="2"/>
  </r>
  <r>
    <x v="10"/>
    <x v="10"/>
    <x v="1"/>
    <x v="0"/>
    <x v="9"/>
    <x v="9"/>
    <x v="0"/>
    <x v="7"/>
    <x v="4"/>
    <x v="7"/>
    <x v="9"/>
    <x v="9"/>
    <x v="9"/>
    <x v="2"/>
  </r>
  <r>
    <x v="11"/>
    <x v="11"/>
    <x v="0"/>
    <x v="0"/>
    <x v="10"/>
    <x v="10"/>
    <x v="1"/>
    <x v="8"/>
    <x v="5"/>
    <x v="8"/>
    <x v="10"/>
    <x v="10"/>
    <x v="10"/>
    <x v="0"/>
  </r>
  <r>
    <x v="12"/>
    <x v="12"/>
    <x v="0"/>
    <x v="0"/>
    <x v="10"/>
    <x v="10"/>
    <x v="1"/>
    <x v="8"/>
    <x v="6"/>
    <x v="8"/>
    <x v="11"/>
    <x v="11"/>
    <x v="11"/>
    <x v="0"/>
  </r>
  <r>
    <x v="13"/>
    <x v="13"/>
    <x v="1"/>
    <x v="1"/>
    <x v="11"/>
    <x v="11"/>
    <x v="0"/>
    <x v="9"/>
    <x v="7"/>
    <x v="9"/>
    <x v="12"/>
    <x v="12"/>
    <x v="12"/>
    <x v="2"/>
  </r>
  <r>
    <x v="14"/>
    <x v="14"/>
    <x v="1"/>
    <x v="0"/>
    <x v="12"/>
    <x v="12"/>
    <x v="0"/>
    <x v="10"/>
    <x v="7"/>
    <x v="10"/>
    <x v="13"/>
    <x v="13"/>
    <x v="13"/>
    <x v="2"/>
  </r>
  <r>
    <x v="15"/>
    <x v="7"/>
    <x v="3"/>
    <x v="0"/>
    <x v="13"/>
    <x v="13"/>
    <x v="0"/>
    <x v="11"/>
    <x v="4"/>
    <x v="11"/>
    <x v="14"/>
    <x v="14"/>
    <x v="14"/>
    <x v="1"/>
  </r>
  <r>
    <x v="16"/>
    <x v="15"/>
    <x v="1"/>
    <x v="1"/>
    <x v="14"/>
    <x v="14"/>
    <x v="0"/>
    <x v="10"/>
    <x v="7"/>
    <x v="10"/>
    <x v="13"/>
    <x v="13"/>
    <x v="13"/>
    <x v="1"/>
  </r>
  <r>
    <x v="17"/>
    <x v="16"/>
    <x v="2"/>
    <x v="1"/>
    <x v="15"/>
    <x v="15"/>
    <x v="0"/>
    <x v="0"/>
    <x v="8"/>
    <x v="0"/>
    <x v="15"/>
    <x v="15"/>
    <x v="15"/>
    <x v="1"/>
  </r>
  <r>
    <x v="18"/>
    <x v="17"/>
    <x v="1"/>
    <x v="0"/>
    <x v="3"/>
    <x v="3"/>
    <x v="2"/>
    <x v="3"/>
    <x v="6"/>
    <x v="3"/>
    <x v="16"/>
    <x v="16"/>
    <x v="16"/>
    <x v="2"/>
  </r>
  <r>
    <x v="19"/>
    <x v="12"/>
    <x v="2"/>
    <x v="1"/>
    <x v="16"/>
    <x v="16"/>
    <x v="0"/>
    <x v="0"/>
    <x v="0"/>
    <x v="4"/>
    <x v="0"/>
    <x v="17"/>
    <x v="17"/>
    <x v="0"/>
  </r>
  <r>
    <x v="20"/>
    <x v="18"/>
    <x v="1"/>
    <x v="0"/>
    <x v="17"/>
    <x v="17"/>
    <x v="0"/>
    <x v="5"/>
    <x v="6"/>
    <x v="1"/>
    <x v="17"/>
    <x v="18"/>
    <x v="18"/>
    <x v="1"/>
  </r>
  <r>
    <x v="21"/>
    <x v="19"/>
    <x v="1"/>
    <x v="1"/>
    <x v="18"/>
    <x v="18"/>
    <x v="0"/>
    <x v="12"/>
    <x v="5"/>
    <x v="12"/>
    <x v="18"/>
    <x v="19"/>
    <x v="19"/>
    <x v="0"/>
  </r>
  <r>
    <x v="22"/>
    <x v="14"/>
    <x v="1"/>
    <x v="0"/>
    <x v="19"/>
    <x v="19"/>
    <x v="0"/>
    <x v="5"/>
    <x v="6"/>
    <x v="5"/>
    <x v="17"/>
    <x v="20"/>
    <x v="20"/>
    <x v="0"/>
  </r>
  <r>
    <x v="23"/>
    <x v="20"/>
    <x v="1"/>
    <x v="0"/>
    <x v="2"/>
    <x v="2"/>
    <x v="1"/>
    <x v="2"/>
    <x v="6"/>
    <x v="2"/>
    <x v="19"/>
    <x v="21"/>
    <x v="21"/>
    <x v="1"/>
  </r>
  <r>
    <x v="24"/>
    <x v="21"/>
    <x v="2"/>
    <x v="0"/>
    <x v="20"/>
    <x v="20"/>
    <x v="0"/>
    <x v="2"/>
    <x v="4"/>
    <x v="2"/>
    <x v="20"/>
    <x v="22"/>
    <x v="22"/>
    <x v="1"/>
  </r>
  <r>
    <x v="25"/>
    <x v="16"/>
    <x v="0"/>
    <x v="0"/>
    <x v="21"/>
    <x v="21"/>
    <x v="0"/>
    <x v="13"/>
    <x v="6"/>
    <x v="7"/>
    <x v="21"/>
    <x v="23"/>
    <x v="23"/>
    <x v="0"/>
  </r>
  <r>
    <x v="26"/>
    <x v="1"/>
    <x v="1"/>
    <x v="0"/>
    <x v="6"/>
    <x v="6"/>
    <x v="0"/>
    <x v="5"/>
    <x v="7"/>
    <x v="5"/>
    <x v="22"/>
    <x v="24"/>
    <x v="24"/>
    <x v="1"/>
  </r>
  <r>
    <x v="27"/>
    <x v="2"/>
    <x v="1"/>
    <x v="0"/>
    <x v="17"/>
    <x v="17"/>
    <x v="0"/>
    <x v="5"/>
    <x v="3"/>
    <x v="1"/>
    <x v="23"/>
    <x v="25"/>
    <x v="25"/>
    <x v="1"/>
  </r>
  <r>
    <x v="28"/>
    <x v="2"/>
    <x v="2"/>
    <x v="0"/>
    <x v="22"/>
    <x v="22"/>
    <x v="0"/>
    <x v="10"/>
    <x v="0"/>
    <x v="13"/>
    <x v="24"/>
    <x v="26"/>
    <x v="26"/>
    <x v="1"/>
  </r>
  <r>
    <x v="29"/>
    <x v="22"/>
    <x v="3"/>
    <x v="1"/>
    <x v="23"/>
    <x v="23"/>
    <x v="0"/>
    <x v="14"/>
    <x v="6"/>
    <x v="14"/>
    <x v="25"/>
    <x v="27"/>
    <x v="11"/>
    <x v="1"/>
  </r>
  <r>
    <x v="30"/>
    <x v="23"/>
    <x v="1"/>
    <x v="0"/>
    <x v="8"/>
    <x v="8"/>
    <x v="0"/>
    <x v="6"/>
    <x v="1"/>
    <x v="6"/>
    <x v="26"/>
    <x v="28"/>
    <x v="27"/>
    <x v="2"/>
  </r>
  <r>
    <x v="31"/>
    <x v="5"/>
    <x v="2"/>
    <x v="1"/>
    <x v="15"/>
    <x v="15"/>
    <x v="0"/>
    <x v="0"/>
    <x v="8"/>
    <x v="0"/>
    <x v="15"/>
    <x v="15"/>
    <x v="15"/>
    <x v="1"/>
  </r>
  <r>
    <x v="32"/>
    <x v="24"/>
    <x v="1"/>
    <x v="1"/>
    <x v="11"/>
    <x v="11"/>
    <x v="0"/>
    <x v="9"/>
    <x v="6"/>
    <x v="9"/>
    <x v="27"/>
    <x v="29"/>
    <x v="28"/>
    <x v="2"/>
  </r>
  <r>
    <x v="33"/>
    <x v="25"/>
    <x v="4"/>
    <x v="1"/>
    <x v="24"/>
    <x v="24"/>
    <x v="1"/>
    <x v="1"/>
    <x v="8"/>
    <x v="5"/>
    <x v="28"/>
    <x v="30"/>
    <x v="29"/>
    <x v="2"/>
  </r>
  <r>
    <x v="34"/>
    <x v="26"/>
    <x v="1"/>
    <x v="1"/>
    <x v="1"/>
    <x v="1"/>
    <x v="0"/>
    <x v="1"/>
    <x v="4"/>
    <x v="1"/>
    <x v="29"/>
    <x v="31"/>
    <x v="30"/>
    <x v="1"/>
  </r>
  <r>
    <x v="35"/>
    <x v="27"/>
    <x v="3"/>
    <x v="1"/>
    <x v="25"/>
    <x v="25"/>
    <x v="0"/>
    <x v="15"/>
    <x v="6"/>
    <x v="15"/>
    <x v="30"/>
    <x v="32"/>
    <x v="31"/>
    <x v="2"/>
  </r>
  <r>
    <x v="36"/>
    <x v="15"/>
    <x v="2"/>
    <x v="0"/>
    <x v="22"/>
    <x v="22"/>
    <x v="0"/>
    <x v="10"/>
    <x v="1"/>
    <x v="13"/>
    <x v="20"/>
    <x v="22"/>
    <x v="22"/>
    <x v="1"/>
  </r>
  <r>
    <x v="37"/>
    <x v="28"/>
    <x v="1"/>
    <x v="0"/>
    <x v="26"/>
    <x v="26"/>
    <x v="1"/>
    <x v="16"/>
    <x v="0"/>
    <x v="1"/>
    <x v="31"/>
    <x v="1"/>
    <x v="32"/>
    <x v="1"/>
  </r>
  <r>
    <x v="38"/>
    <x v="29"/>
    <x v="1"/>
    <x v="0"/>
    <x v="27"/>
    <x v="27"/>
    <x v="0"/>
    <x v="17"/>
    <x v="0"/>
    <x v="16"/>
    <x v="32"/>
    <x v="33"/>
    <x v="33"/>
    <x v="2"/>
  </r>
  <r>
    <x v="39"/>
    <x v="20"/>
    <x v="1"/>
    <x v="0"/>
    <x v="28"/>
    <x v="28"/>
    <x v="0"/>
    <x v="18"/>
    <x v="7"/>
    <x v="16"/>
    <x v="33"/>
    <x v="34"/>
    <x v="13"/>
    <x v="2"/>
  </r>
  <r>
    <x v="40"/>
    <x v="7"/>
    <x v="2"/>
    <x v="1"/>
    <x v="16"/>
    <x v="16"/>
    <x v="0"/>
    <x v="0"/>
    <x v="6"/>
    <x v="4"/>
    <x v="34"/>
    <x v="35"/>
    <x v="34"/>
    <x v="0"/>
  </r>
  <r>
    <x v="41"/>
    <x v="8"/>
    <x v="0"/>
    <x v="0"/>
    <x v="29"/>
    <x v="29"/>
    <x v="0"/>
    <x v="1"/>
    <x v="4"/>
    <x v="5"/>
    <x v="29"/>
    <x v="36"/>
    <x v="35"/>
    <x v="2"/>
  </r>
  <r>
    <x v="42"/>
    <x v="21"/>
    <x v="1"/>
    <x v="1"/>
    <x v="30"/>
    <x v="30"/>
    <x v="1"/>
    <x v="19"/>
    <x v="2"/>
    <x v="9"/>
    <x v="35"/>
    <x v="37"/>
    <x v="36"/>
    <x v="0"/>
  </r>
  <r>
    <x v="43"/>
    <x v="1"/>
    <x v="3"/>
    <x v="0"/>
    <x v="31"/>
    <x v="31"/>
    <x v="0"/>
    <x v="12"/>
    <x v="6"/>
    <x v="12"/>
    <x v="36"/>
    <x v="38"/>
    <x v="37"/>
    <x v="1"/>
  </r>
  <r>
    <x v="44"/>
    <x v="6"/>
    <x v="1"/>
    <x v="0"/>
    <x v="32"/>
    <x v="32"/>
    <x v="1"/>
    <x v="5"/>
    <x v="6"/>
    <x v="5"/>
    <x v="17"/>
    <x v="20"/>
    <x v="20"/>
    <x v="2"/>
  </r>
  <r>
    <x v="45"/>
    <x v="30"/>
    <x v="3"/>
    <x v="1"/>
    <x v="25"/>
    <x v="25"/>
    <x v="0"/>
    <x v="15"/>
    <x v="2"/>
    <x v="15"/>
    <x v="37"/>
    <x v="39"/>
    <x v="38"/>
    <x v="2"/>
  </r>
  <r>
    <x v="46"/>
    <x v="31"/>
    <x v="4"/>
    <x v="0"/>
    <x v="33"/>
    <x v="33"/>
    <x v="0"/>
    <x v="2"/>
    <x v="0"/>
    <x v="2"/>
    <x v="2"/>
    <x v="2"/>
    <x v="2"/>
    <x v="1"/>
  </r>
  <r>
    <x v="47"/>
    <x v="18"/>
    <x v="1"/>
    <x v="1"/>
    <x v="34"/>
    <x v="34"/>
    <x v="2"/>
    <x v="3"/>
    <x v="0"/>
    <x v="3"/>
    <x v="38"/>
    <x v="40"/>
    <x v="39"/>
    <x v="0"/>
  </r>
  <r>
    <x v="48"/>
    <x v="32"/>
    <x v="1"/>
    <x v="1"/>
    <x v="35"/>
    <x v="35"/>
    <x v="0"/>
    <x v="5"/>
    <x v="4"/>
    <x v="5"/>
    <x v="39"/>
    <x v="36"/>
    <x v="40"/>
    <x v="2"/>
  </r>
  <r>
    <x v="49"/>
    <x v="33"/>
    <x v="1"/>
    <x v="0"/>
    <x v="32"/>
    <x v="32"/>
    <x v="1"/>
    <x v="5"/>
    <x v="6"/>
    <x v="5"/>
    <x v="17"/>
    <x v="20"/>
    <x v="20"/>
    <x v="2"/>
  </r>
  <r>
    <x v="50"/>
    <x v="34"/>
    <x v="1"/>
    <x v="0"/>
    <x v="7"/>
    <x v="7"/>
    <x v="2"/>
    <x v="3"/>
    <x v="0"/>
    <x v="3"/>
    <x v="38"/>
    <x v="40"/>
    <x v="39"/>
    <x v="1"/>
  </r>
  <r>
    <x v="51"/>
    <x v="24"/>
    <x v="4"/>
    <x v="1"/>
    <x v="36"/>
    <x v="36"/>
    <x v="0"/>
    <x v="5"/>
    <x v="6"/>
    <x v="5"/>
    <x v="17"/>
    <x v="20"/>
    <x v="20"/>
    <x v="1"/>
  </r>
  <r>
    <x v="52"/>
    <x v="11"/>
    <x v="1"/>
    <x v="1"/>
    <x v="1"/>
    <x v="1"/>
    <x v="0"/>
    <x v="1"/>
    <x v="1"/>
    <x v="1"/>
    <x v="39"/>
    <x v="41"/>
    <x v="25"/>
    <x v="1"/>
  </r>
  <r>
    <x v="53"/>
    <x v="35"/>
    <x v="1"/>
    <x v="0"/>
    <x v="3"/>
    <x v="3"/>
    <x v="2"/>
    <x v="3"/>
    <x v="5"/>
    <x v="3"/>
    <x v="40"/>
    <x v="42"/>
    <x v="41"/>
    <x v="2"/>
  </r>
  <r>
    <x v="54"/>
    <x v="11"/>
    <x v="3"/>
    <x v="0"/>
    <x v="31"/>
    <x v="31"/>
    <x v="0"/>
    <x v="12"/>
    <x v="0"/>
    <x v="12"/>
    <x v="41"/>
    <x v="43"/>
    <x v="42"/>
    <x v="1"/>
  </r>
  <r>
    <x v="55"/>
    <x v="6"/>
    <x v="3"/>
    <x v="0"/>
    <x v="37"/>
    <x v="37"/>
    <x v="0"/>
    <x v="8"/>
    <x v="2"/>
    <x v="17"/>
    <x v="42"/>
    <x v="44"/>
    <x v="5"/>
    <x v="2"/>
  </r>
  <r>
    <x v="56"/>
    <x v="2"/>
    <x v="3"/>
    <x v="0"/>
    <x v="13"/>
    <x v="13"/>
    <x v="0"/>
    <x v="11"/>
    <x v="1"/>
    <x v="11"/>
    <x v="43"/>
    <x v="45"/>
    <x v="43"/>
    <x v="1"/>
  </r>
  <r>
    <x v="57"/>
    <x v="36"/>
    <x v="1"/>
    <x v="0"/>
    <x v="38"/>
    <x v="38"/>
    <x v="0"/>
    <x v="14"/>
    <x v="7"/>
    <x v="18"/>
    <x v="44"/>
    <x v="46"/>
    <x v="44"/>
    <x v="0"/>
  </r>
  <r>
    <x v="58"/>
    <x v="25"/>
    <x v="1"/>
    <x v="1"/>
    <x v="39"/>
    <x v="39"/>
    <x v="0"/>
    <x v="20"/>
    <x v="0"/>
    <x v="10"/>
    <x v="45"/>
    <x v="47"/>
    <x v="45"/>
    <x v="2"/>
  </r>
  <r>
    <x v="59"/>
    <x v="36"/>
    <x v="1"/>
    <x v="0"/>
    <x v="7"/>
    <x v="7"/>
    <x v="2"/>
    <x v="3"/>
    <x v="7"/>
    <x v="3"/>
    <x v="46"/>
    <x v="48"/>
    <x v="46"/>
    <x v="1"/>
  </r>
  <r>
    <x v="60"/>
    <x v="37"/>
    <x v="3"/>
    <x v="1"/>
    <x v="23"/>
    <x v="23"/>
    <x v="0"/>
    <x v="14"/>
    <x v="6"/>
    <x v="14"/>
    <x v="25"/>
    <x v="27"/>
    <x v="11"/>
    <x v="1"/>
  </r>
  <r>
    <x v="61"/>
    <x v="38"/>
    <x v="1"/>
    <x v="0"/>
    <x v="26"/>
    <x v="26"/>
    <x v="1"/>
    <x v="16"/>
    <x v="6"/>
    <x v="1"/>
    <x v="47"/>
    <x v="18"/>
    <x v="47"/>
    <x v="1"/>
  </r>
  <r>
    <x v="62"/>
    <x v="39"/>
    <x v="1"/>
    <x v="0"/>
    <x v="7"/>
    <x v="7"/>
    <x v="2"/>
    <x v="3"/>
    <x v="3"/>
    <x v="3"/>
    <x v="48"/>
    <x v="49"/>
    <x v="48"/>
    <x v="1"/>
  </r>
  <r>
    <x v="63"/>
    <x v="40"/>
    <x v="0"/>
    <x v="0"/>
    <x v="21"/>
    <x v="21"/>
    <x v="0"/>
    <x v="13"/>
    <x v="4"/>
    <x v="7"/>
    <x v="49"/>
    <x v="9"/>
    <x v="49"/>
    <x v="0"/>
  </r>
  <r>
    <x v="64"/>
    <x v="41"/>
    <x v="1"/>
    <x v="1"/>
    <x v="40"/>
    <x v="40"/>
    <x v="0"/>
    <x v="1"/>
    <x v="1"/>
    <x v="5"/>
    <x v="39"/>
    <x v="6"/>
    <x v="50"/>
    <x v="0"/>
  </r>
  <r>
    <x v="65"/>
    <x v="20"/>
    <x v="3"/>
    <x v="1"/>
    <x v="41"/>
    <x v="41"/>
    <x v="0"/>
    <x v="1"/>
    <x v="7"/>
    <x v="1"/>
    <x v="50"/>
    <x v="50"/>
    <x v="51"/>
    <x v="1"/>
  </r>
  <r>
    <x v="66"/>
    <x v="3"/>
    <x v="1"/>
    <x v="1"/>
    <x v="34"/>
    <x v="34"/>
    <x v="2"/>
    <x v="3"/>
    <x v="3"/>
    <x v="3"/>
    <x v="48"/>
    <x v="49"/>
    <x v="48"/>
    <x v="0"/>
  </r>
  <r>
    <x v="67"/>
    <x v="42"/>
    <x v="2"/>
    <x v="0"/>
    <x v="42"/>
    <x v="42"/>
    <x v="0"/>
    <x v="2"/>
    <x v="2"/>
    <x v="2"/>
    <x v="4"/>
    <x v="4"/>
    <x v="4"/>
    <x v="2"/>
  </r>
  <r>
    <x v="68"/>
    <x v="10"/>
    <x v="1"/>
    <x v="0"/>
    <x v="27"/>
    <x v="27"/>
    <x v="0"/>
    <x v="17"/>
    <x v="0"/>
    <x v="16"/>
    <x v="32"/>
    <x v="33"/>
    <x v="33"/>
    <x v="2"/>
  </r>
  <r>
    <x v="69"/>
    <x v="41"/>
    <x v="1"/>
    <x v="1"/>
    <x v="40"/>
    <x v="40"/>
    <x v="0"/>
    <x v="1"/>
    <x v="1"/>
    <x v="5"/>
    <x v="39"/>
    <x v="6"/>
    <x v="50"/>
    <x v="0"/>
  </r>
  <r>
    <x v="70"/>
    <x v="40"/>
    <x v="2"/>
    <x v="0"/>
    <x v="42"/>
    <x v="42"/>
    <x v="0"/>
    <x v="2"/>
    <x v="8"/>
    <x v="2"/>
    <x v="51"/>
    <x v="51"/>
    <x v="52"/>
    <x v="2"/>
  </r>
  <r>
    <x v="71"/>
    <x v="32"/>
    <x v="0"/>
    <x v="0"/>
    <x v="10"/>
    <x v="10"/>
    <x v="1"/>
    <x v="8"/>
    <x v="4"/>
    <x v="8"/>
    <x v="52"/>
    <x v="52"/>
    <x v="9"/>
    <x v="0"/>
  </r>
  <r>
    <x v="72"/>
    <x v="43"/>
    <x v="1"/>
    <x v="0"/>
    <x v="3"/>
    <x v="3"/>
    <x v="2"/>
    <x v="3"/>
    <x v="2"/>
    <x v="3"/>
    <x v="7"/>
    <x v="7"/>
    <x v="7"/>
    <x v="2"/>
  </r>
  <r>
    <x v="73"/>
    <x v="44"/>
    <x v="1"/>
    <x v="0"/>
    <x v="19"/>
    <x v="19"/>
    <x v="0"/>
    <x v="5"/>
    <x v="5"/>
    <x v="5"/>
    <x v="53"/>
    <x v="53"/>
    <x v="53"/>
    <x v="0"/>
  </r>
  <r>
    <x v="74"/>
    <x v="45"/>
    <x v="1"/>
    <x v="1"/>
    <x v="30"/>
    <x v="30"/>
    <x v="1"/>
    <x v="19"/>
    <x v="2"/>
    <x v="9"/>
    <x v="35"/>
    <x v="37"/>
    <x v="36"/>
    <x v="0"/>
  </r>
  <r>
    <x v="75"/>
    <x v="46"/>
    <x v="1"/>
    <x v="0"/>
    <x v="7"/>
    <x v="7"/>
    <x v="2"/>
    <x v="3"/>
    <x v="7"/>
    <x v="3"/>
    <x v="46"/>
    <x v="48"/>
    <x v="46"/>
    <x v="1"/>
  </r>
  <r>
    <x v="76"/>
    <x v="16"/>
    <x v="4"/>
    <x v="1"/>
    <x v="43"/>
    <x v="43"/>
    <x v="1"/>
    <x v="21"/>
    <x v="3"/>
    <x v="9"/>
    <x v="54"/>
    <x v="54"/>
    <x v="54"/>
    <x v="2"/>
  </r>
  <r>
    <x v="77"/>
    <x v="39"/>
    <x v="2"/>
    <x v="1"/>
    <x v="15"/>
    <x v="15"/>
    <x v="0"/>
    <x v="0"/>
    <x v="0"/>
    <x v="0"/>
    <x v="0"/>
    <x v="0"/>
    <x v="0"/>
    <x v="1"/>
  </r>
  <r>
    <x v="78"/>
    <x v="45"/>
    <x v="2"/>
    <x v="1"/>
    <x v="15"/>
    <x v="15"/>
    <x v="0"/>
    <x v="0"/>
    <x v="7"/>
    <x v="0"/>
    <x v="55"/>
    <x v="55"/>
    <x v="55"/>
    <x v="1"/>
  </r>
  <r>
    <x v="79"/>
    <x v="43"/>
    <x v="2"/>
    <x v="1"/>
    <x v="5"/>
    <x v="5"/>
    <x v="1"/>
    <x v="4"/>
    <x v="8"/>
    <x v="4"/>
    <x v="56"/>
    <x v="56"/>
    <x v="15"/>
    <x v="1"/>
  </r>
  <r>
    <x v="80"/>
    <x v="2"/>
    <x v="1"/>
    <x v="1"/>
    <x v="34"/>
    <x v="34"/>
    <x v="2"/>
    <x v="3"/>
    <x v="5"/>
    <x v="3"/>
    <x v="40"/>
    <x v="42"/>
    <x v="41"/>
    <x v="0"/>
  </r>
  <r>
    <x v="81"/>
    <x v="20"/>
    <x v="0"/>
    <x v="0"/>
    <x v="44"/>
    <x v="44"/>
    <x v="0"/>
    <x v="1"/>
    <x v="4"/>
    <x v="1"/>
    <x v="29"/>
    <x v="31"/>
    <x v="30"/>
    <x v="0"/>
  </r>
  <r>
    <x v="82"/>
    <x v="6"/>
    <x v="0"/>
    <x v="0"/>
    <x v="44"/>
    <x v="44"/>
    <x v="0"/>
    <x v="1"/>
    <x v="6"/>
    <x v="1"/>
    <x v="57"/>
    <x v="18"/>
    <x v="56"/>
    <x v="0"/>
  </r>
  <r>
    <x v="83"/>
    <x v="38"/>
    <x v="1"/>
    <x v="1"/>
    <x v="30"/>
    <x v="30"/>
    <x v="1"/>
    <x v="19"/>
    <x v="7"/>
    <x v="9"/>
    <x v="58"/>
    <x v="12"/>
    <x v="13"/>
    <x v="0"/>
  </r>
  <r>
    <x v="84"/>
    <x v="24"/>
    <x v="1"/>
    <x v="0"/>
    <x v="45"/>
    <x v="45"/>
    <x v="1"/>
    <x v="22"/>
    <x v="6"/>
    <x v="19"/>
    <x v="59"/>
    <x v="57"/>
    <x v="57"/>
    <x v="1"/>
  </r>
  <r>
    <x v="85"/>
    <x v="21"/>
    <x v="1"/>
    <x v="1"/>
    <x v="46"/>
    <x v="46"/>
    <x v="0"/>
    <x v="0"/>
    <x v="4"/>
    <x v="0"/>
    <x v="60"/>
    <x v="44"/>
    <x v="58"/>
    <x v="1"/>
  </r>
  <r>
    <x v="86"/>
    <x v="39"/>
    <x v="1"/>
    <x v="1"/>
    <x v="46"/>
    <x v="46"/>
    <x v="0"/>
    <x v="0"/>
    <x v="0"/>
    <x v="0"/>
    <x v="0"/>
    <x v="0"/>
    <x v="0"/>
    <x v="1"/>
  </r>
  <r>
    <x v="87"/>
    <x v="16"/>
    <x v="1"/>
    <x v="0"/>
    <x v="2"/>
    <x v="2"/>
    <x v="1"/>
    <x v="2"/>
    <x v="3"/>
    <x v="2"/>
    <x v="61"/>
    <x v="58"/>
    <x v="59"/>
    <x v="1"/>
  </r>
  <r>
    <x v="88"/>
    <x v="47"/>
    <x v="0"/>
    <x v="0"/>
    <x v="47"/>
    <x v="47"/>
    <x v="0"/>
    <x v="21"/>
    <x v="0"/>
    <x v="9"/>
    <x v="62"/>
    <x v="59"/>
    <x v="60"/>
    <x v="2"/>
  </r>
  <r>
    <x v="89"/>
    <x v="48"/>
    <x v="3"/>
    <x v="0"/>
    <x v="31"/>
    <x v="31"/>
    <x v="0"/>
    <x v="12"/>
    <x v="6"/>
    <x v="12"/>
    <x v="36"/>
    <x v="38"/>
    <x v="37"/>
    <x v="1"/>
  </r>
  <r>
    <x v="90"/>
    <x v="35"/>
    <x v="1"/>
    <x v="0"/>
    <x v="12"/>
    <x v="12"/>
    <x v="0"/>
    <x v="10"/>
    <x v="5"/>
    <x v="10"/>
    <x v="63"/>
    <x v="60"/>
    <x v="10"/>
    <x v="2"/>
  </r>
  <r>
    <x v="91"/>
    <x v="25"/>
    <x v="1"/>
    <x v="0"/>
    <x v="28"/>
    <x v="28"/>
    <x v="0"/>
    <x v="18"/>
    <x v="8"/>
    <x v="16"/>
    <x v="64"/>
    <x v="61"/>
    <x v="61"/>
    <x v="2"/>
  </r>
  <r>
    <x v="92"/>
    <x v="14"/>
    <x v="1"/>
    <x v="1"/>
    <x v="14"/>
    <x v="14"/>
    <x v="0"/>
    <x v="10"/>
    <x v="6"/>
    <x v="10"/>
    <x v="65"/>
    <x v="62"/>
    <x v="11"/>
    <x v="1"/>
  </r>
  <r>
    <x v="93"/>
    <x v="6"/>
    <x v="1"/>
    <x v="0"/>
    <x v="26"/>
    <x v="26"/>
    <x v="1"/>
    <x v="16"/>
    <x v="7"/>
    <x v="1"/>
    <x v="66"/>
    <x v="50"/>
    <x v="62"/>
    <x v="1"/>
  </r>
  <r>
    <x v="94"/>
    <x v="40"/>
    <x v="1"/>
    <x v="1"/>
    <x v="30"/>
    <x v="30"/>
    <x v="1"/>
    <x v="19"/>
    <x v="6"/>
    <x v="9"/>
    <x v="67"/>
    <x v="29"/>
    <x v="11"/>
    <x v="0"/>
  </r>
  <r>
    <x v="95"/>
    <x v="19"/>
    <x v="4"/>
    <x v="0"/>
    <x v="48"/>
    <x v="48"/>
    <x v="0"/>
    <x v="11"/>
    <x v="8"/>
    <x v="11"/>
    <x v="68"/>
    <x v="63"/>
    <x v="63"/>
    <x v="0"/>
  </r>
  <r>
    <x v="96"/>
    <x v="38"/>
    <x v="1"/>
    <x v="1"/>
    <x v="30"/>
    <x v="30"/>
    <x v="1"/>
    <x v="19"/>
    <x v="6"/>
    <x v="9"/>
    <x v="67"/>
    <x v="29"/>
    <x v="11"/>
    <x v="0"/>
  </r>
  <r>
    <x v="97"/>
    <x v="30"/>
    <x v="4"/>
    <x v="1"/>
    <x v="49"/>
    <x v="49"/>
    <x v="0"/>
    <x v="2"/>
    <x v="7"/>
    <x v="2"/>
    <x v="69"/>
    <x v="64"/>
    <x v="64"/>
    <x v="2"/>
  </r>
  <r>
    <x v="98"/>
    <x v="19"/>
    <x v="1"/>
    <x v="1"/>
    <x v="50"/>
    <x v="50"/>
    <x v="1"/>
    <x v="0"/>
    <x v="5"/>
    <x v="11"/>
    <x v="70"/>
    <x v="65"/>
    <x v="65"/>
    <x v="2"/>
  </r>
  <r>
    <x v="99"/>
    <x v="49"/>
    <x v="3"/>
    <x v="0"/>
    <x v="37"/>
    <x v="37"/>
    <x v="0"/>
    <x v="8"/>
    <x v="8"/>
    <x v="17"/>
    <x v="71"/>
    <x v="66"/>
    <x v="15"/>
    <x v="2"/>
  </r>
  <r>
    <x v="100"/>
    <x v="7"/>
    <x v="1"/>
    <x v="0"/>
    <x v="26"/>
    <x v="26"/>
    <x v="1"/>
    <x v="16"/>
    <x v="5"/>
    <x v="1"/>
    <x v="72"/>
    <x v="67"/>
    <x v="66"/>
    <x v="1"/>
  </r>
  <r>
    <x v="101"/>
    <x v="50"/>
    <x v="3"/>
    <x v="0"/>
    <x v="31"/>
    <x v="31"/>
    <x v="0"/>
    <x v="12"/>
    <x v="7"/>
    <x v="12"/>
    <x v="73"/>
    <x v="68"/>
    <x v="67"/>
    <x v="1"/>
  </r>
  <r>
    <x v="102"/>
    <x v="47"/>
    <x v="0"/>
    <x v="0"/>
    <x v="47"/>
    <x v="47"/>
    <x v="0"/>
    <x v="21"/>
    <x v="5"/>
    <x v="9"/>
    <x v="74"/>
    <x v="69"/>
    <x v="68"/>
    <x v="2"/>
  </r>
  <r>
    <x v="103"/>
    <x v="51"/>
    <x v="0"/>
    <x v="0"/>
    <x v="47"/>
    <x v="47"/>
    <x v="0"/>
    <x v="21"/>
    <x v="6"/>
    <x v="9"/>
    <x v="75"/>
    <x v="29"/>
    <x v="69"/>
    <x v="2"/>
  </r>
  <r>
    <x v="104"/>
    <x v="31"/>
    <x v="1"/>
    <x v="0"/>
    <x v="38"/>
    <x v="38"/>
    <x v="0"/>
    <x v="14"/>
    <x v="8"/>
    <x v="18"/>
    <x v="76"/>
    <x v="70"/>
    <x v="70"/>
    <x v="0"/>
  </r>
  <r>
    <x v="105"/>
    <x v="0"/>
    <x v="1"/>
    <x v="0"/>
    <x v="51"/>
    <x v="51"/>
    <x v="1"/>
    <x v="21"/>
    <x v="6"/>
    <x v="9"/>
    <x v="75"/>
    <x v="29"/>
    <x v="69"/>
    <x v="2"/>
  </r>
  <r>
    <x v="106"/>
    <x v="11"/>
    <x v="0"/>
    <x v="0"/>
    <x v="52"/>
    <x v="52"/>
    <x v="1"/>
    <x v="23"/>
    <x v="8"/>
    <x v="3"/>
    <x v="77"/>
    <x v="71"/>
    <x v="71"/>
    <x v="1"/>
  </r>
  <r>
    <x v="107"/>
    <x v="6"/>
    <x v="1"/>
    <x v="0"/>
    <x v="38"/>
    <x v="38"/>
    <x v="0"/>
    <x v="14"/>
    <x v="1"/>
    <x v="18"/>
    <x v="78"/>
    <x v="72"/>
    <x v="72"/>
    <x v="0"/>
  </r>
  <r>
    <x v="108"/>
    <x v="27"/>
    <x v="3"/>
    <x v="1"/>
    <x v="41"/>
    <x v="41"/>
    <x v="0"/>
    <x v="1"/>
    <x v="3"/>
    <x v="1"/>
    <x v="79"/>
    <x v="25"/>
    <x v="73"/>
    <x v="1"/>
  </r>
  <r>
    <x v="109"/>
    <x v="10"/>
    <x v="3"/>
    <x v="0"/>
    <x v="53"/>
    <x v="53"/>
    <x v="1"/>
    <x v="22"/>
    <x v="3"/>
    <x v="5"/>
    <x v="80"/>
    <x v="73"/>
    <x v="74"/>
    <x v="1"/>
  </r>
  <r>
    <x v="110"/>
    <x v="25"/>
    <x v="3"/>
    <x v="0"/>
    <x v="13"/>
    <x v="13"/>
    <x v="0"/>
    <x v="11"/>
    <x v="8"/>
    <x v="11"/>
    <x v="68"/>
    <x v="63"/>
    <x v="63"/>
    <x v="1"/>
  </r>
  <r>
    <x v="111"/>
    <x v="32"/>
    <x v="2"/>
    <x v="1"/>
    <x v="15"/>
    <x v="15"/>
    <x v="0"/>
    <x v="0"/>
    <x v="0"/>
    <x v="0"/>
    <x v="0"/>
    <x v="0"/>
    <x v="0"/>
    <x v="1"/>
  </r>
  <r>
    <x v="112"/>
    <x v="42"/>
    <x v="1"/>
    <x v="0"/>
    <x v="7"/>
    <x v="7"/>
    <x v="2"/>
    <x v="3"/>
    <x v="3"/>
    <x v="3"/>
    <x v="48"/>
    <x v="49"/>
    <x v="48"/>
    <x v="1"/>
  </r>
  <r>
    <x v="113"/>
    <x v="19"/>
    <x v="1"/>
    <x v="1"/>
    <x v="54"/>
    <x v="54"/>
    <x v="1"/>
    <x v="16"/>
    <x v="3"/>
    <x v="1"/>
    <x v="29"/>
    <x v="25"/>
    <x v="75"/>
    <x v="0"/>
  </r>
  <r>
    <x v="114"/>
    <x v="11"/>
    <x v="2"/>
    <x v="1"/>
    <x v="15"/>
    <x v="15"/>
    <x v="0"/>
    <x v="0"/>
    <x v="4"/>
    <x v="0"/>
    <x v="60"/>
    <x v="44"/>
    <x v="58"/>
    <x v="1"/>
  </r>
  <r>
    <x v="115"/>
    <x v="24"/>
    <x v="1"/>
    <x v="1"/>
    <x v="39"/>
    <x v="39"/>
    <x v="0"/>
    <x v="20"/>
    <x v="7"/>
    <x v="10"/>
    <x v="81"/>
    <x v="13"/>
    <x v="76"/>
    <x v="2"/>
  </r>
  <r>
    <x v="116"/>
    <x v="4"/>
    <x v="1"/>
    <x v="0"/>
    <x v="9"/>
    <x v="9"/>
    <x v="0"/>
    <x v="7"/>
    <x v="2"/>
    <x v="7"/>
    <x v="82"/>
    <x v="74"/>
    <x v="36"/>
    <x v="2"/>
  </r>
  <r>
    <x v="117"/>
    <x v="41"/>
    <x v="1"/>
    <x v="1"/>
    <x v="35"/>
    <x v="35"/>
    <x v="0"/>
    <x v="5"/>
    <x v="2"/>
    <x v="5"/>
    <x v="83"/>
    <x v="75"/>
    <x v="77"/>
    <x v="2"/>
  </r>
  <r>
    <x v="118"/>
    <x v="18"/>
    <x v="0"/>
    <x v="0"/>
    <x v="21"/>
    <x v="21"/>
    <x v="0"/>
    <x v="13"/>
    <x v="1"/>
    <x v="7"/>
    <x v="84"/>
    <x v="69"/>
    <x v="72"/>
    <x v="0"/>
  </r>
  <r>
    <x v="119"/>
    <x v="36"/>
    <x v="2"/>
    <x v="0"/>
    <x v="20"/>
    <x v="20"/>
    <x v="0"/>
    <x v="2"/>
    <x v="0"/>
    <x v="2"/>
    <x v="2"/>
    <x v="2"/>
    <x v="2"/>
    <x v="1"/>
  </r>
  <r>
    <x v="120"/>
    <x v="22"/>
    <x v="1"/>
    <x v="0"/>
    <x v="27"/>
    <x v="27"/>
    <x v="0"/>
    <x v="17"/>
    <x v="1"/>
    <x v="16"/>
    <x v="9"/>
    <x v="76"/>
    <x v="78"/>
    <x v="2"/>
  </r>
  <r>
    <x v="121"/>
    <x v="47"/>
    <x v="1"/>
    <x v="1"/>
    <x v="55"/>
    <x v="55"/>
    <x v="0"/>
    <x v="2"/>
    <x v="3"/>
    <x v="2"/>
    <x v="61"/>
    <x v="58"/>
    <x v="59"/>
    <x v="1"/>
  </r>
  <r>
    <x v="122"/>
    <x v="8"/>
    <x v="1"/>
    <x v="0"/>
    <x v="38"/>
    <x v="38"/>
    <x v="0"/>
    <x v="14"/>
    <x v="1"/>
    <x v="18"/>
    <x v="78"/>
    <x v="72"/>
    <x v="72"/>
    <x v="0"/>
  </r>
  <r>
    <x v="123"/>
    <x v="39"/>
    <x v="1"/>
    <x v="0"/>
    <x v="32"/>
    <x v="32"/>
    <x v="1"/>
    <x v="5"/>
    <x v="3"/>
    <x v="5"/>
    <x v="23"/>
    <x v="73"/>
    <x v="79"/>
    <x v="2"/>
  </r>
  <r>
    <x v="124"/>
    <x v="0"/>
    <x v="0"/>
    <x v="0"/>
    <x v="47"/>
    <x v="47"/>
    <x v="0"/>
    <x v="21"/>
    <x v="3"/>
    <x v="9"/>
    <x v="54"/>
    <x v="54"/>
    <x v="54"/>
    <x v="2"/>
  </r>
  <r>
    <x v="125"/>
    <x v="33"/>
    <x v="1"/>
    <x v="0"/>
    <x v="17"/>
    <x v="17"/>
    <x v="0"/>
    <x v="5"/>
    <x v="6"/>
    <x v="1"/>
    <x v="17"/>
    <x v="18"/>
    <x v="18"/>
    <x v="1"/>
  </r>
  <r>
    <x v="126"/>
    <x v="52"/>
    <x v="1"/>
    <x v="0"/>
    <x v="8"/>
    <x v="8"/>
    <x v="0"/>
    <x v="6"/>
    <x v="7"/>
    <x v="6"/>
    <x v="85"/>
    <x v="77"/>
    <x v="80"/>
    <x v="2"/>
  </r>
  <r>
    <x v="127"/>
    <x v="51"/>
    <x v="0"/>
    <x v="0"/>
    <x v="47"/>
    <x v="47"/>
    <x v="0"/>
    <x v="21"/>
    <x v="4"/>
    <x v="9"/>
    <x v="86"/>
    <x v="78"/>
    <x v="81"/>
    <x v="2"/>
  </r>
  <r>
    <x v="128"/>
    <x v="0"/>
    <x v="3"/>
    <x v="1"/>
    <x v="25"/>
    <x v="25"/>
    <x v="0"/>
    <x v="15"/>
    <x v="3"/>
    <x v="15"/>
    <x v="87"/>
    <x v="79"/>
    <x v="82"/>
    <x v="2"/>
  </r>
  <r>
    <x v="129"/>
    <x v="29"/>
    <x v="1"/>
    <x v="0"/>
    <x v="17"/>
    <x v="17"/>
    <x v="0"/>
    <x v="5"/>
    <x v="2"/>
    <x v="1"/>
    <x v="83"/>
    <x v="80"/>
    <x v="83"/>
    <x v="1"/>
  </r>
  <r>
    <x v="130"/>
    <x v="45"/>
    <x v="2"/>
    <x v="1"/>
    <x v="5"/>
    <x v="5"/>
    <x v="1"/>
    <x v="4"/>
    <x v="3"/>
    <x v="4"/>
    <x v="88"/>
    <x v="81"/>
    <x v="84"/>
    <x v="1"/>
  </r>
  <r>
    <x v="131"/>
    <x v="23"/>
    <x v="1"/>
    <x v="0"/>
    <x v="27"/>
    <x v="27"/>
    <x v="0"/>
    <x v="17"/>
    <x v="1"/>
    <x v="16"/>
    <x v="9"/>
    <x v="76"/>
    <x v="78"/>
    <x v="2"/>
  </r>
  <r>
    <x v="132"/>
    <x v="53"/>
    <x v="3"/>
    <x v="0"/>
    <x v="53"/>
    <x v="53"/>
    <x v="1"/>
    <x v="22"/>
    <x v="6"/>
    <x v="5"/>
    <x v="59"/>
    <x v="20"/>
    <x v="85"/>
    <x v="1"/>
  </r>
  <r>
    <x v="133"/>
    <x v="29"/>
    <x v="1"/>
    <x v="0"/>
    <x v="26"/>
    <x v="26"/>
    <x v="1"/>
    <x v="16"/>
    <x v="8"/>
    <x v="1"/>
    <x v="89"/>
    <x v="82"/>
    <x v="86"/>
    <x v="1"/>
  </r>
  <r>
    <x v="134"/>
    <x v="37"/>
    <x v="1"/>
    <x v="1"/>
    <x v="56"/>
    <x v="56"/>
    <x v="3"/>
    <x v="5"/>
    <x v="7"/>
    <x v="5"/>
    <x v="22"/>
    <x v="24"/>
    <x v="24"/>
    <x v="2"/>
  </r>
  <r>
    <x v="135"/>
    <x v="24"/>
    <x v="2"/>
    <x v="1"/>
    <x v="5"/>
    <x v="5"/>
    <x v="1"/>
    <x v="4"/>
    <x v="0"/>
    <x v="4"/>
    <x v="90"/>
    <x v="17"/>
    <x v="0"/>
    <x v="1"/>
  </r>
  <r>
    <x v="136"/>
    <x v="54"/>
    <x v="1"/>
    <x v="1"/>
    <x v="1"/>
    <x v="1"/>
    <x v="0"/>
    <x v="1"/>
    <x v="8"/>
    <x v="1"/>
    <x v="28"/>
    <x v="82"/>
    <x v="87"/>
    <x v="1"/>
  </r>
  <r>
    <x v="137"/>
    <x v="55"/>
    <x v="0"/>
    <x v="0"/>
    <x v="29"/>
    <x v="29"/>
    <x v="0"/>
    <x v="1"/>
    <x v="2"/>
    <x v="5"/>
    <x v="80"/>
    <x v="75"/>
    <x v="88"/>
    <x v="2"/>
  </r>
  <r>
    <x v="138"/>
    <x v="40"/>
    <x v="2"/>
    <x v="1"/>
    <x v="5"/>
    <x v="5"/>
    <x v="1"/>
    <x v="4"/>
    <x v="3"/>
    <x v="4"/>
    <x v="88"/>
    <x v="81"/>
    <x v="84"/>
    <x v="1"/>
  </r>
  <r>
    <x v="139"/>
    <x v="46"/>
    <x v="4"/>
    <x v="1"/>
    <x v="43"/>
    <x v="43"/>
    <x v="1"/>
    <x v="21"/>
    <x v="5"/>
    <x v="9"/>
    <x v="74"/>
    <x v="69"/>
    <x v="68"/>
    <x v="2"/>
  </r>
  <r>
    <x v="140"/>
    <x v="34"/>
    <x v="1"/>
    <x v="1"/>
    <x v="50"/>
    <x v="50"/>
    <x v="1"/>
    <x v="0"/>
    <x v="1"/>
    <x v="11"/>
    <x v="91"/>
    <x v="45"/>
    <x v="89"/>
    <x v="2"/>
  </r>
  <r>
    <x v="141"/>
    <x v="25"/>
    <x v="1"/>
    <x v="1"/>
    <x v="30"/>
    <x v="30"/>
    <x v="1"/>
    <x v="19"/>
    <x v="6"/>
    <x v="9"/>
    <x v="67"/>
    <x v="29"/>
    <x v="11"/>
    <x v="0"/>
  </r>
  <r>
    <x v="142"/>
    <x v="46"/>
    <x v="2"/>
    <x v="0"/>
    <x v="22"/>
    <x v="22"/>
    <x v="0"/>
    <x v="10"/>
    <x v="6"/>
    <x v="13"/>
    <x v="65"/>
    <x v="83"/>
    <x v="90"/>
    <x v="1"/>
  </r>
  <r>
    <x v="143"/>
    <x v="27"/>
    <x v="4"/>
    <x v="0"/>
    <x v="33"/>
    <x v="33"/>
    <x v="0"/>
    <x v="2"/>
    <x v="7"/>
    <x v="2"/>
    <x v="69"/>
    <x v="64"/>
    <x v="64"/>
    <x v="1"/>
  </r>
  <r>
    <x v="144"/>
    <x v="14"/>
    <x v="3"/>
    <x v="0"/>
    <x v="31"/>
    <x v="31"/>
    <x v="0"/>
    <x v="12"/>
    <x v="4"/>
    <x v="12"/>
    <x v="87"/>
    <x v="84"/>
    <x v="91"/>
    <x v="1"/>
  </r>
  <r>
    <x v="145"/>
    <x v="4"/>
    <x v="1"/>
    <x v="1"/>
    <x v="55"/>
    <x v="55"/>
    <x v="0"/>
    <x v="2"/>
    <x v="6"/>
    <x v="2"/>
    <x v="19"/>
    <x v="21"/>
    <x v="21"/>
    <x v="1"/>
  </r>
  <r>
    <x v="146"/>
    <x v="17"/>
    <x v="4"/>
    <x v="0"/>
    <x v="33"/>
    <x v="33"/>
    <x v="0"/>
    <x v="2"/>
    <x v="7"/>
    <x v="2"/>
    <x v="69"/>
    <x v="64"/>
    <x v="64"/>
    <x v="1"/>
  </r>
  <r>
    <x v="147"/>
    <x v="45"/>
    <x v="1"/>
    <x v="0"/>
    <x v="38"/>
    <x v="38"/>
    <x v="0"/>
    <x v="14"/>
    <x v="8"/>
    <x v="18"/>
    <x v="76"/>
    <x v="70"/>
    <x v="70"/>
    <x v="0"/>
  </r>
  <r>
    <x v="148"/>
    <x v="3"/>
    <x v="1"/>
    <x v="0"/>
    <x v="32"/>
    <x v="32"/>
    <x v="1"/>
    <x v="5"/>
    <x v="8"/>
    <x v="5"/>
    <x v="92"/>
    <x v="30"/>
    <x v="92"/>
    <x v="2"/>
  </r>
  <r>
    <x v="149"/>
    <x v="56"/>
    <x v="1"/>
    <x v="0"/>
    <x v="8"/>
    <x v="8"/>
    <x v="0"/>
    <x v="6"/>
    <x v="4"/>
    <x v="6"/>
    <x v="93"/>
    <x v="85"/>
    <x v="93"/>
    <x v="2"/>
  </r>
  <r>
    <x v="150"/>
    <x v="32"/>
    <x v="4"/>
    <x v="1"/>
    <x v="36"/>
    <x v="36"/>
    <x v="0"/>
    <x v="5"/>
    <x v="3"/>
    <x v="5"/>
    <x v="23"/>
    <x v="73"/>
    <x v="79"/>
    <x v="1"/>
  </r>
  <r>
    <x v="151"/>
    <x v="39"/>
    <x v="1"/>
    <x v="0"/>
    <x v="26"/>
    <x v="26"/>
    <x v="1"/>
    <x v="16"/>
    <x v="2"/>
    <x v="1"/>
    <x v="94"/>
    <x v="80"/>
    <x v="94"/>
    <x v="1"/>
  </r>
  <r>
    <x v="152"/>
    <x v="3"/>
    <x v="1"/>
    <x v="0"/>
    <x v="32"/>
    <x v="32"/>
    <x v="1"/>
    <x v="5"/>
    <x v="3"/>
    <x v="5"/>
    <x v="23"/>
    <x v="73"/>
    <x v="79"/>
    <x v="2"/>
  </r>
  <r>
    <x v="153"/>
    <x v="16"/>
    <x v="1"/>
    <x v="0"/>
    <x v="8"/>
    <x v="8"/>
    <x v="0"/>
    <x v="6"/>
    <x v="1"/>
    <x v="6"/>
    <x v="26"/>
    <x v="28"/>
    <x v="27"/>
    <x v="2"/>
  </r>
  <r>
    <x v="154"/>
    <x v="18"/>
    <x v="2"/>
    <x v="1"/>
    <x v="4"/>
    <x v="4"/>
    <x v="0"/>
    <x v="2"/>
    <x v="3"/>
    <x v="2"/>
    <x v="61"/>
    <x v="58"/>
    <x v="59"/>
    <x v="2"/>
  </r>
  <r>
    <x v="155"/>
    <x v="38"/>
    <x v="0"/>
    <x v="0"/>
    <x v="52"/>
    <x v="52"/>
    <x v="1"/>
    <x v="23"/>
    <x v="4"/>
    <x v="3"/>
    <x v="95"/>
    <x v="86"/>
    <x v="95"/>
    <x v="1"/>
  </r>
  <r>
    <x v="156"/>
    <x v="34"/>
    <x v="4"/>
    <x v="1"/>
    <x v="36"/>
    <x v="36"/>
    <x v="0"/>
    <x v="5"/>
    <x v="4"/>
    <x v="5"/>
    <x v="39"/>
    <x v="36"/>
    <x v="40"/>
    <x v="1"/>
  </r>
  <r>
    <x v="157"/>
    <x v="24"/>
    <x v="3"/>
    <x v="0"/>
    <x v="31"/>
    <x v="31"/>
    <x v="0"/>
    <x v="12"/>
    <x v="7"/>
    <x v="12"/>
    <x v="73"/>
    <x v="68"/>
    <x v="67"/>
    <x v="1"/>
  </r>
  <r>
    <x v="158"/>
    <x v="55"/>
    <x v="1"/>
    <x v="1"/>
    <x v="50"/>
    <x v="50"/>
    <x v="1"/>
    <x v="0"/>
    <x v="5"/>
    <x v="11"/>
    <x v="70"/>
    <x v="65"/>
    <x v="65"/>
    <x v="2"/>
  </r>
  <r>
    <x v="159"/>
    <x v="20"/>
    <x v="4"/>
    <x v="0"/>
    <x v="57"/>
    <x v="57"/>
    <x v="0"/>
    <x v="19"/>
    <x v="7"/>
    <x v="7"/>
    <x v="58"/>
    <x v="87"/>
    <x v="12"/>
    <x v="1"/>
  </r>
  <r>
    <x v="160"/>
    <x v="57"/>
    <x v="1"/>
    <x v="0"/>
    <x v="8"/>
    <x v="8"/>
    <x v="0"/>
    <x v="6"/>
    <x v="4"/>
    <x v="6"/>
    <x v="93"/>
    <x v="85"/>
    <x v="93"/>
    <x v="2"/>
  </r>
  <r>
    <x v="161"/>
    <x v="41"/>
    <x v="0"/>
    <x v="0"/>
    <x v="21"/>
    <x v="21"/>
    <x v="0"/>
    <x v="13"/>
    <x v="3"/>
    <x v="7"/>
    <x v="96"/>
    <x v="88"/>
    <x v="96"/>
    <x v="0"/>
  </r>
  <r>
    <x v="162"/>
    <x v="4"/>
    <x v="1"/>
    <x v="1"/>
    <x v="18"/>
    <x v="18"/>
    <x v="0"/>
    <x v="12"/>
    <x v="0"/>
    <x v="12"/>
    <x v="41"/>
    <x v="43"/>
    <x v="42"/>
    <x v="0"/>
  </r>
  <r>
    <x v="163"/>
    <x v="42"/>
    <x v="4"/>
    <x v="1"/>
    <x v="43"/>
    <x v="43"/>
    <x v="1"/>
    <x v="21"/>
    <x v="8"/>
    <x v="9"/>
    <x v="97"/>
    <x v="89"/>
    <x v="97"/>
    <x v="2"/>
  </r>
  <r>
    <x v="164"/>
    <x v="38"/>
    <x v="0"/>
    <x v="0"/>
    <x v="47"/>
    <x v="47"/>
    <x v="0"/>
    <x v="21"/>
    <x v="3"/>
    <x v="9"/>
    <x v="54"/>
    <x v="54"/>
    <x v="54"/>
    <x v="2"/>
  </r>
  <r>
    <x v="165"/>
    <x v="20"/>
    <x v="0"/>
    <x v="0"/>
    <x v="52"/>
    <x v="52"/>
    <x v="1"/>
    <x v="23"/>
    <x v="3"/>
    <x v="3"/>
    <x v="98"/>
    <x v="49"/>
    <x v="74"/>
    <x v="1"/>
  </r>
  <r>
    <x v="166"/>
    <x v="27"/>
    <x v="3"/>
    <x v="0"/>
    <x v="31"/>
    <x v="31"/>
    <x v="0"/>
    <x v="12"/>
    <x v="6"/>
    <x v="12"/>
    <x v="36"/>
    <x v="38"/>
    <x v="37"/>
    <x v="1"/>
  </r>
  <r>
    <x v="167"/>
    <x v="22"/>
    <x v="1"/>
    <x v="0"/>
    <x v="6"/>
    <x v="6"/>
    <x v="0"/>
    <x v="5"/>
    <x v="1"/>
    <x v="5"/>
    <x v="6"/>
    <x v="6"/>
    <x v="6"/>
    <x v="1"/>
  </r>
  <r>
    <x v="168"/>
    <x v="45"/>
    <x v="1"/>
    <x v="0"/>
    <x v="45"/>
    <x v="45"/>
    <x v="1"/>
    <x v="22"/>
    <x v="0"/>
    <x v="19"/>
    <x v="99"/>
    <x v="90"/>
    <x v="98"/>
    <x v="1"/>
  </r>
  <r>
    <x v="169"/>
    <x v="13"/>
    <x v="4"/>
    <x v="0"/>
    <x v="33"/>
    <x v="33"/>
    <x v="0"/>
    <x v="2"/>
    <x v="6"/>
    <x v="2"/>
    <x v="19"/>
    <x v="21"/>
    <x v="21"/>
    <x v="1"/>
  </r>
  <r>
    <x v="170"/>
    <x v="58"/>
    <x v="4"/>
    <x v="0"/>
    <x v="48"/>
    <x v="48"/>
    <x v="0"/>
    <x v="11"/>
    <x v="1"/>
    <x v="11"/>
    <x v="43"/>
    <x v="45"/>
    <x v="43"/>
    <x v="0"/>
  </r>
  <r>
    <x v="171"/>
    <x v="19"/>
    <x v="0"/>
    <x v="0"/>
    <x v="44"/>
    <x v="44"/>
    <x v="0"/>
    <x v="1"/>
    <x v="4"/>
    <x v="1"/>
    <x v="29"/>
    <x v="31"/>
    <x v="30"/>
    <x v="0"/>
  </r>
  <r>
    <x v="172"/>
    <x v="58"/>
    <x v="2"/>
    <x v="1"/>
    <x v="15"/>
    <x v="15"/>
    <x v="0"/>
    <x v="0"/>
    <x v="3"/>
    <x v="0"/>
    <x v="100"/>
    <x v="5"/>
    <x v="84"/>
    <x v="1"/>
  </r>
  <r>
    <x v="173"/>
    <x v="1"/>
    <x v="0"/>
    <x v="0"/>
    <x v="47"/>
    <x v="47"/>
    <x v="0"/>
    <x v="21"/>
    <x v="2"/>
    <x v="9"/>
    <x v="101"/>
    <x v="37"/>
    <x v="99"/>
    <x v="2"/>
  </r>
  <r>
    <x v="174"/>
    <x v="28"/>
    <x v="1"/>
    <x v="1"/>
    <x v="30"/>
    <x v="30"/>
    <x v="1"/>
    <x v="19"/>
    <x v="2"/>
    <x v="9"/>
    <x v="35"/>
    <x v="37"/>
    <x v="36"/>
    <x v="0"/>
  </r>
  <r>
    <x v="175"/>
    <x v="10"/>
    <x v="4"/>
    <x v="0"/>
    <x v="48"/>
    <x v="48"/>
    <x v="0"/>
    <x v="11"/>
    <x v="4"/>
    <x v="11"/>
    <x v="14"/>
    <x v="14"/>
    <x v="14"/>
    <x v="0"/>
  </r>
  <r>
    <x v="176"/>
    <x v="13"/>
    <x v="1"/>
    <x v="1"/>
    <x v="35"/>
    <x v="35"/>
    <x v="0"/>
    <x v="5"/>
    <x v="1"/>
    <x v="5"/>
    <x v="6"/>
    <x v="6"/>
    <x v="6"/>
    <x v="2"/>
  </r>
  <r>
    <x v="177"/>
    <x v="38"/>
    <x v="1"/>
    <x v="0"/>
    <x v="12"/>
    <x v="12"/>
    <x v="0"/>
    <x v="10"/>
    <x v="3"/>
    <x v="10"/>
    <x v="102"/>
    <x v="91"/>
    <x v="100"/>
    <x v="2"/>
  </r>
  <r>
    <x v="178"/>
    <x v="28"/>
    <x v="1"/>
    <x v="0"/>
    <x v="17"/>
    <x v="17"/>
    <x v="0"/>
    <x v="5"/>
    <x v="0"/>
    <x v="1"/>
    <x v="103"/>
    <x v="1"/>
    <x v="101"/>
    <x v="1"/>
  </r>
  <r>
    <x v="179"/>
    <x v="27"/>
    <x v="3"/>
    <x v="0"/>
    <x v="53"/>
    <x v="53"/>
    <x v="1"/>
    <x v="22"/>
    <x v="1"/>
    <x v="5"/>
    <x v="104"/>
    <x v="6"/>
    <x v="102"/>
    <x v="1"/>
  </r>
  <r>
    <x v="180"/>
    <x v="16"/>
    <x v="3"/>
    <x v="0"/>
    <x v="53"/>
    <x v="53"/>
    <x v="1"/>
    <x v="22"/>
    <x v="1"/>
    <x v="5"/>
    <x v="104"/>
    <x v="6"/>
    <x v="102"/>
    <x v="1"/>
  </r>
  <r>
    <x v="181"/>
    <x v="4"/>
    <x v="0"/>
    <x v="0"/>
    <x v="44"/>
    <x v="44"/>
    <x v="0"/>
    <x v="1"/>
    <x v="4"/>
    <x v="1"/>
    <x v="29"/>
    <x v="31"/>
    <x v="30"/>
    <x v="0"/>
  </r>
  <r>
    <x v="182"/>
    <x v="31"/>
    <x v="1"/>
    <x v="1"/>
    <x v="40"/>
    <x v="40"/>
    <x v="0"/>
    <x v="1"/>
    <x v="2"/>
    <x v="5"/>
    <x v="80"/>
    <x v="75"/>
    <x v="88"/>
    <x v="0"/>
  </r>
  <r>
    <x v="183"/>
    <x v="14"/>
    <x v="4"/>
    <x v="1"/>
    <x v="49"/>
    <x v="49"/>
    <x v="0"/>
    <x v="2"/>
    <x v="7"/>
    <x v="2"/>
    <x v="69"/>
    <x v="64"/>
    <x v="64"/>
    <x v="2"/>
  </r>
  <r>
    <x v="184"/>
    <x v="28"/>
    <x v="3"/>
    <x v="0"/>
    <x v="13"/>
    <x v="13"/>
    <x v="0"/>
    <x v="11"/>
    <x v="7"/>
    <x v="11"/>
    <x v="105"/>
    <x v="92"/>
    <x v="103"/>
    <x v="1"/>
  </r>
  <r>
    <x v="185"/>
    <x v="23"/>
    <x v="1"/>
    <x v="1"/>
    <x v="34"/>
    <x v="34"/>
    <x v="2"/>
    <x v="3"/>
    <x v="6"/>
    <x v="3"/>
    <x v="16"/>
    <x v="16"/>
    <x v="16"/>
    <x v="0"/>
  </r>
  <r>
    <x v="186"/>
    <x v="31"/>
    <x v="1"/>
    <x v="0"/>
    <x v="28"/>
    <x v="28"/>
    <x v="0"/>
    <x v="18"/>
    <x v="2"/>
    <x v="16"/>
    <x v="106"/>
    <x v="93"/>
    <x v="36"/>
    <x v="2"/>
  </r>
  <r>
    <x v="187"/>
    <x v="2"/>
    <x v="1"/>
    <x v="0"/>
    <x v="2"/>
    <x v="2"/>
    <x v="1"/>
    <x v="2"/>
    <x v="6"/>
    <x v="2"/>
    <x v="19"/>
    <x v="21"/>
    <x v="21"/>
    <x v="1"/>
  </r>
  <r>
    <x v="188"/>
    <x v="19"/>
    <x v="1"/>
    <x v="0"/>
    <x v="9"/>
    <x v="9"/>
    <x v="0"/>
    <x v="7"/>
    <x v="0"/>
    <x v="7"/>
    <x v="107"/>
    <x v="94"/>
    <x v="104"/>
    <x v="2"/>
  </r>
  <r>
    <x v="189"/>
    <x v="18"/>
    <x v="2"/>
    <x v="0"/>
    <x v="42"/>
    <x v="42"/>
    <x v="0"/>
    <x v="2"/>
    <x v="4"/>
    <x v="2"/>
    <x v="20"/>
    <x v="22"/>
    <x v="22"/>
    <x v="2"/>
  </r>
  <r>
    <x v="190"/>
    <x v="34"/>
    <x v="2"/>
    <x v="1"/>
    <x v="4"/>
    <x v="4"/>
    <x v="0"/>
    <x v="2"/>
    <x v="6"/>
    <x v="2"/>
    <x v="19"/>
    <x v="21"/>
    <x v="21"/>
    <x v="2"/>
  </r>
  <r>
    <x v="191"/>
    <x v="48"/>
    <x v="1"/>
    <x v="1"/>
    <x v="30"/>
    <x v="30"/>
    <x v="1"/>
    <x v="19"/>
    <x v="7"/>
    <x v="9"/>
    <x v="58"/>
    <x v="12"/>
    <x v="13"/>
    <x v="0"/>
  </r>
  <r>
    <x v="192"/>
    <x v="55"/>
    <x v="1"/>
    <x v="0"/>
    <x v="27"/>
    <x v="27"/>
    <x v="0"/>
    <x v="17"/>
    <x v="8"/>
    <x v="16"/>
    <x v="108"/>
    <x v="61"/>
    <x v="105"/>
    <x v="2"/>
  </r>
  <r>
    <x v="193"/>
    <x v="49"/>
    <x v="1"/>
    <x v="1"/>
    <x v="39"/>
    <x v="39"/>
    <x v="0"/>
    <x v="20"/>
    <x v="3"/>
    <x v="10"/>
    <x v="109"/>
    <x v="91"/>
    <x v="106"/>
    <x v="2"/>
  </r>
  <r>
    <x v="194"/>
    <x v="24"/>
    <x v="2"/>
    <x v="1"/>
    <x v="16"/>
    <x v="16"/>
    <x v="0"/>
    <x v="0"/>
    <x v="2"/>
    <x v="4"/>
    <x v="110"/>
    <x v="5"/>
    <x v="107"/>
    <x v="0"/>
  </r>
  <r>
    <x v="195"/>
    <x v="7"/>
    <x v="0"/>
    <x v="0"/>
    <x v="58"/>
    <x v="58"/>
    <x v="0"/>
    <x v="24"/>
    <x v="1"/>
    <x v="20"/>
    <x v="111"/>
    <x v="95"/>
    <x v="108"/>
    <x v="0"/>
  </r>
  <r>
    <x v="196"/>
    <x v="31"/>
    <x v="1"/>
    <x v="0"/>
    <x v="32"/>
    <x v="32"/>
    <x v="1"/>
    <x v="5"/>
    <x v="0"/>
    <x v="5"/>
    <x v="103"/>
    <x v="96"/>
    <x v="109"/>
    <x v="2"/>
  </r>
  <r>
    <x v="197"/>
    <x v="13"/>
    <x v="4"/>
    <x v="0"/>
    <x v="57"/>
    <x v="57"/>
    <x v="0"/>
    <x v="19"/>
    <x v="8"/>
    <x v="7"/>
    <x v="112"/>
    <x v="97"/>
    <x v="105"/>
    <x v="1"/>
  </r>
  <r>
    <x v="198"/>
    <x v="48"/>
    <x v="4"/>
    <x v="1"/>
    <x v="49"/>
    <x v="49"/>
    <x v="0"/>
    <x v="2"/>
    <x v="6"/>
    <x v="2"/>
    <x v="19"/>
    <x v="21"/>
    <x v="21"/>
    <x v="2"/>
  </r>
  <r>
    <x v="199"/>
    <x v="41"/>
    <x v="1"/>
    <x v="0"/>
    <x v="19"/>
    <x v="19"/>
    <x v="0"/>
    <x v="5"/>
    <x v="0"/>
    <x v="5"/>
    <x v="103"/>
    <x v="96"/>
    <x v="109"/>
    <x v="0"/>
  </r>
  <r>
    <x v="200"/>
    <x v="13"/>
    <x v="1"/>
    <x v="1"/>
    <x v="39"/>
    <x v="39"/>
    <x v="0"/>
    <x v="20"/>
    <x v="6"/>
    <x v="10"/>
    <x v="113"/>
    <x v="62"/>
    <x v="110"/>
    <x v="2"/>
  </r>
  <r>
    <x v="201"/>
    <x v="54"/>
    <x v="1"/>
    <x v="1"/>
    <x v="35"/>
    <x v="35"/>
    <x v="0"/>
    <x v="5"/>
    <x v="7"/>
    <x v="5"/>
    <x v="22"/>
    <x v="24"/>
    <x v="24"/>
    <x v="2"/>
  </r>
  <r>
    <x v="202"/>
    <x v="44"/>
    <x v="4"/>
    <x v="1"/>
    <x v="49"/>
    <x v="49"/>
    <x v="0"/>
    <x v="2"/>
    <x v="8"/>
    <x v="2"/>
    <x v="51"/>
    <x v="51"/>
    <x v="52"/>
    <x v="2"/>
  </r>
  <r>
    <x v="203"/>
    <x v="49"/>
    <x v="1"/>
    <x v="1"/>
    <x v="46"/>
    <x v="46"/>
    <x v="0"/>
    <x v="0"/>
    <x v="8"/>
    <x v="0"/>
    <x v="15"/>
    <x v="15"/>
    <x v="15"/>
    <x v="1"/>
  </r>
  <r>
    <x v="204"/>
    <x v="9"/>
    <x v="1"/>
    <x v="0"/>
    <x v="28"/>
    <x v="28"/>
    <x v="0"/>
    <x v="18"/>
    <x v="4"/>
    <x v="16"/>
    <x v="114"/>
    <x v="98"/>
    <x v="9"/>
    <x v="2"/>
  </r>
  <r>
    <x v="205"/>
    <x v="7"/>
    <x v="4"/>
    <x v="1"/>
    <x v="49"/>
    <x v="49"/>
    <x v="0"/>
    <x v="2"/>
    <x v="5"/>
    <x v="2"/>
    <x v="115"/>
    <x v="99"/>
    <x v="111"/>
    <x v="2"/>
  </r>
  <r>
    <x v="206"/>
    <x v="49"/>
    <x v="1"/>
    <x v="0"/>
    <x v="27"/>
    <x v="27"/>
    <x v="0"/>
    <x v="17"/>
    <x v="4"/>
    <x v="16"/>
    <x v="116"/>
    <x v="98"/>
    <x v="112"/>
    <x v="2"/>
  </r>
  <r>
    <x v="207"/>
    <x v="19"/>
    <x v="0"/>
    <x v="0"/>
    <x v="44"/>
    <x v="44"/>
    <x v="0"/>
    <x v="1"/>
    <x v="3"/>
    <x v="1"/>
    <x v="79"/>
    <x v="25"/>
    <x v="73"/>
    <x v="0"/>
  </r>
  <r>
    <x v="208"/>
    <x v="23"/>
    <x v="3"/>
    <x v="0"/>
    <x v="13"/>
    <x v="13"/>
    <x v="0"/>
    <x v="11"/>
    <x v="5"/>
    <x v="11"/>
    <x v="91"/>
    <x v="65"/>
    <x v="113"/>
    <x v="1"/>
  </r>
  <r>
    <x v="209"/>
    <x v="59"/>
    <x v="0"/>
    <x v="0"/>
    <x v="21"/>
    <x v="21"/>
    <x v="0"/>
    <x v="13"/>
    <x v="8"/>
    <x v="7"/>
    <x v="117"/>
    <x v="97"/>
    <x v="70"/>
    <x v="0"/>
  </r>
  <r>
    <x v="210"/>
    <x v="17"/>
    <x v="1"/>
    <x v="0"/>
    <x v="38"/>
    <x v="38"/>
    <x v="0"/>
    <x v="14"/>
    <x v="0"/>
    <x v="18"/>
    <x v="118"/>
    <x v="100"/>
    <x v="114"/>
    <x v="0"/>
  </r>
  <r>
    <x v="211"/>
    <x v="52"/>
    <x v="4"/>
    <x v="0"/>
    <x v="33"/>
    <x v="33"/>
    <x v="0"/>
    <x v="2"/>
    <x v="5"/>
    <x v="2"/>
    <x v="115"/>
    <x v="99"/>
    <x v="111"/>
    <x v="1"/>
  </r>
  <r>
    <x v="212"/>
    <x v="60"/>
    <x v="2"/>
    <x v="0"/>
    <x v="20"/>
    <x v="20"/>
    <x v="0"/>
    <x v="2"/>
    <x v="6"/>
    <x v="2"/>
    <x v="19"/>
    <x v="21"/>
    <x v="21"/>
    <x v="1"/>
  </r>
  <r>
    <x v="213"/>
    <x v="12"/>
    <x v="2"/>
    <x v="1"/>
    <x v="4"/>
    <x v="4"/>
    <x v="0"/>
    <x v="2"/>
    <x v="7"/>
    <x v="2"/>
    <x v="69"/>
    <x v="64"/>
    <x v="64"/>
    <x v="2"/>
  </r>
  <r>
    <x v="214"/>
    <x v="48"/>
    <x v="1"/>
    <x v="1"/>
    <x v="30"/>
    <x v="30"/>
    <x v="1"/>
    <x v="19"/>
    <x v="1"/>
    <x v="9"/>
    <x v="119"/>
    <x v="101"/>
    <x v="115"/>
    <x v="0"/>
  </r>
  <r>
    <x v="215"/>
    <x v="10"/>
    <x v="1"/>
    <x v="1"/>
    <x v="14"/>
    <x v="14"/>
    <x v="0"/>
    <x v="10"/>
    <x v="5"/>
    <x v="10"/>
    <x v="63"/>
    <x v="60"/>
    <x v="10"/>
    <x v="1"/>
  </r>
  <r>
    <x v="216"/>
    <x v="39"/>
    <x v="1"/>
    <x v="0"/>
    <x v="51"/>
    <x v="51"/>
    <x v="1"/>
    <x v="21"/>
    <x v="5"/>
    <x v="9"/>
    <x v="74"/>
    <x v="69"/>
    <x v="68"/>
    <x v="2"/>
  </r>
  <r>
    <x v="217"/>
    <x v="18"/>
    <x v="2"/>
    <x v="1"/>
    <x v="15"/>
    <x v="15"/>
    <x v="0"/>
    <x v="0"/>
    <x v="0"/>
    <x v="0"/>
    <x v="0"/>
    <x v="0"/>
    <x v="0"/>
    <x v="1"/>
  </r>
  <r>
    <x v="218"/>
    <x v="5"/>
    <x v="1"/>
    <x v="0"/>
    <x v="12"/>
    <x v="12"/>
    <x v="0"/>
    <x v="10"/>
    <x v="2"/>
    <x v="10"/>
    <x v="109"/>
    <x v="52"/>
    <x v="36"/>
    <x v="2"/>
  </r>
  <r>
    <x v="219"/>
    <x v="35"/>
    <x v="4"/>
    <x v="1"/>
    <x v="24"/>
    <x v="24"/>
    <x v="1"/>
    <x v="1"/>
    <x v="0"/>
    <x v="5"/>
    <x v="1"/>
    <x v="96"/>
    <x v="116"/>
    <x v="2"/>
  </r>
  <r>
    <x v="220"/>
    <x v="24"/>
    <x v="1"/>
    <x v="0"/>
    <x v="32"/>
    <x v="32"/>
    <x v="1"/>
    <x v="5"/>
    <x v="6"/>
    <x v="5"/>
    <x v="17"/>
    <x v="20"/>
    <x v="20"/>
    <x v="2"/>
  </r>
  <r>
    <x v="221"/>
    <x v="17"/>
    <x v="3"/>
    <x v="0"/>
    <x v="31"/>
    <x v="31"/>
    <x v="0"/>
    <x v="12"/>
    <x v="1"/>
    <x v="12"/>
    <x v="120"/>
    <x v="102"/>
    <x v="117"/>
    <x v="1"/>
  </r>
  <r>
    <x v="222"/>
    <x v="55"/>
    <x v="0"/>
    <x v="0"/>
    <x v="29"/>
    <x v="29"/>
    <x v="0"/>
    <x v="1"/>
    <x v="5"/>
    <x v="5"/>
    <x v="121"/>
    <x v="53"/>
    <x v="6"/>
    <x v="2"/>
  </r>
  <r>
    <x v="223"/>
    <x v="58"/>
    <x v="2"/>
    <x v="1"/>
    <x v="16"/>
    <x v="16"/>
    <x v="0"/>
    <x v="0"/>
    <x v="3"/>
    <x v="4"/>
    <x v="100"/>
    <x v="81"/>
    <x v="118"/>
    <x v="0"/>
  </r>
  <r>
    <x v="224"/>
    <x v="5"/>
    <x v="1"/>
    <x v="1"/>
    <x v="39"/>
    <x v="39"/>
    <x v="0"/>
    <x v="20"/>
    <x v="8"/>
    <x v="10"/>
    <x v="122"/>
    <x v="103"/>
    <x v="119"/>
    <x v="2"/>
  </r>
  <r>
    <x v="225"/>
    <x v="40"/>
    <x v="0"/>
    <x v="0"/>
    <x v="10"/>
    <x v="10"/>
    <x v="1"/>
    <x v="8"/>
    <x v="1"/>
    <x v="8"/>
    <x v="123"/>
    <x v="104"/>
    <x v="115"/>
    <x v="0"/>
  </r>
  <r>
    <x v="226"/>
    <x v="36"/>
    <x v="1"/>
    <x v="1"/>
    <x v="14"/>
    <x v="14"/>
    <x v="0"/>
    <x v="10"/>
    <x v="1"/>
    <x v="10"/>
    <x v="20"/>
    <x v="105"/>
    <x v="115"/>
    <x v="1"/>
  </r>
  <r>
    <x v="227"/>
    <x v="30"/>
    <x v="2"/>
    <x v="0"/>
    <x v="20"/>
    <x v="20"/>
    <x v="0"/>
    <x v="2"/>
    <x v="7"/>
    <x v="2"/>
    <x v="69"/>
    <x v="64"/>
    <x v="64"/>
    <x v="1"/>
  </r>
  <r>
    <x v="228"/>
    <x v="42"/>
    <x v="2"/>
    <x v="0"/>
    <x v="22"/>
    <x v="22"/>
    <x v="0"/>
    <x v="10"/>
    <x v="7"/>
    <x v="13"/>
    <x v="13"/>
    <x v="106"/>
    <x v="120"/>
    <x v="1"/>
  </r>
  <r>
    <x v="229"/>
    <x v="30"/>
    <x v="1"/>
    <x v="0"/>
    <x v="2"/>
    <x v="2"/>
    <x v="1"/>
    <x v="2"/>
    <x v="6"/>
    <x v="2"/>
    <x v="19"/>
    <x v="21"/>
    <x v="21"/>
    <x v="1"/>
  </r>
  <r>
    <x v="230"/>
    <x v="47"/>
    <x v="4"/>
    <x v="0"/>
    <x v="59"/>
    <x v="59"/>
    <x v="1"/>
    <x v="9"/>
    <x v="7"/>
    <x v="10"/>
    <x v="12"/>
    <x v="13"/>
    <x v="121"/>
    <x v="2"/>
  </r>
  <r>
    <x v="231"/>
    <x v="55"/>
    <x v="3"/>
    <x v="0"/>
    <x v="13"/>
    <x v="13"/>
    <x v="0"/>
    <x v="11"/>
    <x v="8"/>
    <x v="11"/>
    <x v="68"/>
    <x v="63"/>
    <x v="63"/>
    <x v="1"/>
  </r>
  <r>
    <x v="232"/>
    <x v="10"/>
    <x v="2"/>
    <x v="1"/>
    <x v="16"/>
    <x v="16"/>
    <x v="0"/>
    <x v="0"/>
    <x v="3"/>
    <x v="4"/>
    <x v="100"/>
    <x v="81"/>
    <x v="118"/>
    <x v="0"/>
  </r>
  <r>
    <x v="233"/>
    <x v="6"/>
    <x v="2"/>
    <x v="0"/>
    <x v="22"/>
    <x v="22"/>
    <x v="0"/>
    <x v="10"/>
    <x v="1"/>
    <x v="13"/>
    <x v="20"/>
    <x v="22"/>
    <x v="22"/>
    <x v="1"/>
  </r>
  <r>
    <x v="234"/>
    <x v="29"/>
    <x v="4"/>
    <x v="1"/>
    <x v="43"/>
    <x v="43"/>
    <x v="1"/>
    <x v="21"/>
    <x v="6"/>
    <x v="9"/>
    <x v="75"/>
    <x v="29"/>
    <x v="69"/>
    <x v="2"/>
  </r>
  <r>
    <x v="235"/>
    <x v="0"/>
    <x v="1"/>
    <x v="0"/>
    <x v="2"/>
    <x v="2"/>
    <x v="1"/>
    <x v="2"/>
    <x v="0"/>
    <x v="2"/>
    <x v="2"/>
    <x v="2"/>
    <x v="2"/>
    <x v="1"/>
  </r>
  <r>
    <x v="236"/>
    <x v="25"/>
    <x v="4"/>
    <x v="0"/>
    <x v="48"/>
    <x v="48"/>
    <x v="0"/>
    <x v="11"/>
    <x v="4"/>
    <x v="11"/>
    <x v="14"/>
    <x v="14"/>
    <x v="14"/>
    <x v="0"/>
  </r>
  <r>
    <x v="237"/>
    <x v="61"/>
    <x v="0"/>
    <x v="0"/>
    <x v="52"/>
    <x v="52"/>
    <x v="1"/>
    <x v="23"/>
    <x v="2"/>
    <x v="3"/>
    <x v="124"/>
    <x v="7"/>
    <x v="122"/>
    <x v="1"/>
  </r>
  <r>
    <x v="238"/>
    <x v="62"/>
    <x v="2"/>
    <x v="0"/>
    <x v="22"/>
    <x v="22"/>
    <x v="0"/>
    <x v="10"/>
    <x v="7"/>
    <x v="13"/>
    <x v="13"/>
    <x v="106"/>
    <x v="120"/>
    <x v="1"/>
  </r>
  <r>
    <x v="239"/>
    <x v="63"/>
    <x v="4"/>
    <x v="1"/>
    <x v="36"/>
    <x v="36"/>
    <x v="0"/>
    <x v="5"/>
    <x v="5"/>
    <x v="5"/>
    <x v="53"/>
    <x v="53"/>
    <x v="53"/>
    <x v="1"/>
  </r>
  <r>
    <x v="240"/>
    <x v="64"/>
    <x v="4"/>
    <x v="0"/>
    <x v="57"/>
    <x v="57"/>
    <x v="0"/>
    <x v="19"/>
    <x v="0"/>
    <x v="7"/>
    <x v="125"/>
    <x v="94"/>
    <x v="33"/>
    <x v="1"/>
  </r>
  <r>
    <x v="241"/>
    <x v="65"/>
    <x v="3"/>
    <x v="1"/>
    <x v="60"/>
    <x v="60"/>
    <x v="2"/>
    <x v="4"/>
    <x v="8"/>
    <x v="1"/>
    <x v="56"/>
    <x v="82"/>
    <x v="92"/>
    <x v="2"/>
  </r>
  <r>
    <x v="242"/>
    <x v="66"/>
    <x v="2"/>
    <x v="0"/>
    <x v="61"/>
    <x v="61"/>
    <x v="1"/>
    <x v="19"/>
    <x v="3"/>
    <x v="9"/>
    <x v="101"/>
    <x v="54"/>
    <x v="100"/>
    <x v="0"/>
  </r>
  <r>
    <x v="243"/>
    <x v="67"/>
    <x v="2"/>
    <x v="1"/>
    <x v="62"/>
    <x v="62"/>
    <x v="2"/>
    <x v="4"/>
    <x v="1"/>
    <x v="1"/>
    <x v="72"/>
    <x v="41"/>
    <x v="6"/>
    <x v="1"/>
  </r>
  <r>
    <x v="244"/>
    <x v="68"/>
    <x v="1"/>
    <x v="0"/>
    <x v="9"/>
    <x v="9"/>
    <x v="0"/>
    <x v="7"/>
    <x v="1"/>
    <x v="7"/>
    <x v="126"/>
    <x v="69"/>
    <x v="115"/>
    <x v="2"/>
  </r>
  <r>
    <x v="245"/>
    <x v="61"/>
    <x v="1"/>
    <x v="1"/>
    <x v="30"/>
    <x v="30"/>
    <x v="1"/>
    <x v="19"/>
    <x v="3"/>
    <x v="9"/>
    <x v="101"/>
    <x v="54"/>
    <x v="100"/>
    <x v="0"/>
  </r>
  <r>
    <x v="246"/>
    <x v="63"/>
    <x v="2"/>
    <x v="0"/>
    <x v="22"/>
    <x v="22"/>
    <x v="0"/>
    <x v="10"/>
    <x v="3"/>
    <x v="13"/>
    <x v="102"/>
    <x v="107"/>
    <x v="123"/>
    <x v="1"/>
  </r>
  <r>
    <x v="247"/>
    <x v="69"/>
    <x v="2"/>
    <x v="1"/>
    <x v="62"/>
    <x v="62"/>
    <x v="2"/>
    <x v="4"/>
    <x v="5"/>
    <x v="1"/>
    <x v="127"/>
    <x v="67"/>
    <x v="53"/>
    <x v="1"/>
  </r>
  <r>
    <x v="248"/>
    <x v="62"/>
    <x v="0"/>
    <x v="0"/>
    <x v="29"/>
    <x v="29"/>
    <x v="0"/>
    <x v="1"/>
    <x v="5"/>
    <x v="5"/>
    <x v="121"/>
    <x v="53"/>
    <x v="6"/>
    <x v="2"/>
  </r>
  <r>
    <x v="249"/>
    <x v="70"/>
    <x v="1"/>
    <x v="1"/>
    <x v="34"/>
    <x v="34"/>
    <x v="2"/>
    <x v="3"/>
    <x v="7"/>
    <x v="3"/>
    <x v="46"/>
    <x v="48"/>
    <x v="46"/>
    <x v="0"/>
  </r>
  <r>
    <x v="250"/>
    <x v="71"/>
    <x v="4"/>
    <x v="0"/>
    <x v="57"/>
    <x v="57"/>
    <x v="0"/>
    <x v="19"/>
    <x v="8"/>
    <x v="7"/>
    <x v="112"/>
    <x v="97"/>
    <x v="105"/>
    <x v="1"/>
  </r>
  <r>
    <x v="251"/>
    <x v="72"/>
    <x v="2"/>
    <x v="0"/>
    <x v="61"/>
    <x v="61"/>
    <x v="1"/>
    <x v="19"/>
    <x v="4"/>
    <x v="9"/>
    <x v="128"/>
    <x v="78"/>
    <x v="9"/>
    <x v="0"/>
  </r>
  <r>
    <x v="252"/>
    <x v="73"/>
    <x v="0"/>
    <x v="0"/>
    <x v="52"/>
    <x v="52"/>
    <x v="1"/>
    <x v="23"/>
    <x v="1"/>
    <x v="3"/>
    <x v="129"/>
    <x v="3"/>
    <x v="102"/>
    <x v="1"/>
  </r>
  <r>
    <x v="253"/>
    <x v="70"/>
    <x v="1"/>
    <x v="0"/>
    <x v="63"/>
    <x v="63"/>
    <x v="2"/>
    <x v="4"/>
    <x v="7"/>
    <x v="1"/>
    <x v="130"/>
    <x v="50"/>
    <x v="24"/>
    <x v="1"/>
  </r>
  <r>
    <x v="254"/>
    <x v="74"/>
    <x v="0"/>
    <x v="0"/>
    <x v="64"/>
    <x v="64"/>
    <x v="4"/>
    <x v="13"/>
    <x v="8"/>
    <x v="7"/>
    <x v="117"/>
    <x v="97"/>
    <x v="70"/>
    <x v="1"/>
  </r>
  <r>
    <x v="255"/>
    <x v="75"/>
    <x v="1"/>
    <x v="1"/>
    <x v="65"/>
    <x v="65"/>
    <x v="4"/>
    <x v="13"/>
    <x v="8"/>
    <x v="21"/>
    <x v="117"/>
    <x v="108"/>
    <x v="124"/>
    <x v="1"/>
  </r>
  <r>
    <x v="256"/>
    <x v="76"/>
    <x v="0"/>
    <x v="0"/>
    <x v="66"/>
    <x v="66"/>
    <x v="2"/>
    <x v="4"/>
    <x v="0"/>
    <x v="1"/>
    <x v="90"/>
    <x v="1"/>
    <x v="109"/>
    <x v="1"/>
  </r>
  <r>
    <x v="257"/>
    <x v="77"/>
    <x v="2"/>
    <x v="0"/>
    <x v="61"/>
    <x v="61"/>
    <x v="1"/>
    <x v="19"/>
    <x v="2"/>
    <x v="9"/>
    <x v="35"/>
    <x v="37"/>
    <x v="36"/>
    <x v="0"/>
  </r>
  <r>
    <x v="258"/>
    <x v="78"/>
    <x v="4"/>
    <x v="1"/>
    <x v="67"/>
    <x v="67"/>
    <x v="2"/>
    <x v="2"/>
    <x v="6"/>
    <x v="17"/>
    <x v="19"/>
    <x v="109"/>
    <x v="34"/>
    <x v="1"/>
  </r>
  <r>
    <x v="259"/>
    <x v="79"/>
    <x v="1"/>
    <x v="1"/>
    <x v="65"/>
    <x v="65"/>
    <x v="4"/>
    <x v="13"/>
    <x v="5"/>
    <x v="21"/>
    <x v="131"/>
    <x v="76"/>
    <x v="125"/>
    <x v="1"/>
  </r>
  <r>
    <x v="260"/>
    <x v="68"/>
    <x v="0"/>
    <x v="0"/>
    <x v="68"/>
    <x v="68"/>
    <x v="3"/>
    <x v="2"/>
    <x v="1"/>
    <x v="2"/>
    <x v="10"/>
    <x v="110"/>
    <x v="126"/>
    <x v="2"/>
  </r>
  <r>
    <x v="261"/>
    <x v="80"/>
    <x v="4"/>
    <x v="1"/>
    <x v="69"/>
    <x v="69"/>
    <x v="2"/>
    <x v="17"/>
    <x v="1"/>
    <x v="22"/>
    <x v="9"/>
    <x v="9"/>
    <x v="9"/>
    <x v="1"/>
  </r>
  <r>
    <x v="262"/>
    <x v="81"/>
    <x v="1"/>
    <x v="0"/>
    <x v="70"/>
    <x v="70"/>
    <x v="2"/>
    <x v="18"/>
    <x v="4"/>
    <x v="16"/>
    <x v="114"/>
    <x v="98"/>
    <x v="9"/>
    <x v="0"/>
  </r>
  <r>
    <x v="263"/>
    <x v="67"/>
    <x v="1"/>
    <x v="0"/>
    <x v="6"/>
    <x v="6"/>
    <x v="0"/>
    <x v="5"/>
    <x v="4"/>
    <x v="5"/>
    <x v="39"/>
    <x v="36"/>
    <x v="40"/>
    <x v="1"/>
  </r>
  <r>
    <x v="264"/>
    <x v="67"/>
    <x v="3"/>
    <x v="1"/>
    <x v="60"/>
    <x v="60"/>
    <x v="2"/>
    <x v="4"/>
    <x v="2"/>
    <x v="1"/>
    <x v="5"/>
    <x v="80"/>
    <x v="77"/>
    <x v="2"/>
  </r>
  <r>
    <x v="265"/>
    <x v="82"/>
    <x v="4"/>
    <x v="0"/>
    <x v="71"/>
    <x v="71"/>
    <x v="2"/>
    <x v="4"/>
    <x v="8"/>
    <x v="19"/>
    <x v="56"/>
    <x v="111"/>
    <x v="127"/>
    <x v="1"/>
  </r>
  <r>
    <x v="266"/>
    <x v="83"/>
    <x v="4"/>
    <x v="1"/>
    <x v="49"/>
    <x v="49"/>
    <x v="0"/>
    <x v="2"/>
    <x v="5"/>
    <x v="2"/>
    <x v="115"/>
    <x v="99"/>
    <x v="111"/>
    <x v="2"/>
  </r>
  <r>
    <x v="267"/>
    <x v="83"/>
    <x v="1"/>
    <x v="0"/>
    <x v="72"/>
    <x v="72"/>
    <x v="3"/>
    <x v="23"/>
    <x v="0"/>
    <x v="3"/>
    <x v="132"/>
    <x v="40"/>
    <x v="128"/>
    <x v="2"/>
  </r>
  <r>
    <x v="268"/>
    <x v="71"/>
    <x v="1"/>
    <x v="1"/>
    <x v="14"/>
    <x v="14"/>
    <x v="0"/>
    <x v="10"/>
    <x v="6"/>
    <x v="10"/>
    <x v="65"/>
    <x v="62"/>
    <x v="11"/>
    <x v="1"/>
  </r>
  <r>
    <x v="269"/>
    <x v="84"/>
    <x v="1"/>
    <x v="1"/>
    <x v="34"/>
    <x v="34"/>
    <x v="2"/>
    <x v="3"/>
    <x v="6"/>
    <x v="3"/>
    <x v="16"/>
    <x v="16"/>
    <x v="16"/>
    <x v="0"/>
  </r>
  <r>
    <x v="270"/>
    <x v="67"/>
    <x v="3"/>
    <x v="0"/>
    <x v="73"/>
    <x v="73"/>
    <x v="4"/>
    <x v="10"/>
    <x v="0"/>
    <x v="13"/>
    <x v="24"/>
    <x v="26"/>
    <x v="26"/>
    <x v="1"/>
  </r>
  <r>
    <x v="271"/>
    <x v="85"/>
    <x v="1"/>
    <x v="1"/>
    <x v="11"/>
    <x v="11"/>
    <x v="0"/>
    <x v="9"/>
    <x v="5"/>
    <x v="9"/>
    <x v="84"/>
    <x v="69"/>
    <x v="72"/>
    <x v="2"/>
  </r>
  <r>
    <x v="272"/>
    <x v="85"/>
    <x v="0"/>
    <x v="0"/>
    <x v="21"/>
    <x v="21"/>
    <x v="0"/>
    <x v="13"/>
    <x v="8"/>
    <x v="7"/>
    <x v="117"/>
    <x v="97"/>
    <x v="70"/>
    <x v="0"/>
  </r>
  <r>
    <x v="273"/>
    <x v="65"/>
    <x v="1"/>
    <x v="1"/>
    <x v="74"/>
    <x v="74"/>
    <x v="5"/>
    <x v="4"/>
    <x v="2"/>
    <x v="1"/>
    <x v="5"/>
    <x v="80"/>
    <x v="77"/>
    <x v="2"/>
  </r>
  <r>
    <x v="274"/>
    <x v="64"/>
    <x v="0"/>
    <x v="0"/>
    <x v="29"/>
    <x v="29"/>
    <x v="0"/>
    <x v="1"/>
    <x v="8"/>
    <x v="5"/>
    <x v="28"/>
    <x v="30"/>
    <x v="29"/>
    <x v="2"/>
  </r>
  <r>
    <x v="275"/>
    <x v="66"/>
    <x v="1"/>
    <x v="0"/>
    <x v="75"/>
    <x v="75"/>
    <x v="4"/>
    <x v="13"/>
    <x v="2"/>
    <x v="7"/>
    <x v="133"/>
    <x v="74"/>
    <x v="129"/>
    <x v="2"/>
  </r>
  <r>
    <x v="276"/>
    <x v="77"/>
    <x v="2"/>
    <x v="0"/>
    <x v="76"/>
    <x v="76"/>
    <x v="2"/>
    <x v="22"/>
    <x v="2"/>
    <x v="5"/>
    <x v="134"/>
    <x v="75"/>
    <x v="122"/>
    <x v="2"/>
  </r>
  <r>
    <x v="277"/>
    <x v="71"/>
    <x v="3"/>
    <x v="1"/>
    <x v="77"/>
    <x v="77"/>
    <x v="4"/>
    <x v="2"/>
    <x v="1"/>
    <x v="23"/>
    <x v="10"/>
    <x v="58"/>
    <x v="130"/>
    <x v="1"/>
  </r>
  <r>
    <x v="278"/>
    <x v="86"/>
    <x v="3"/>
    <x v="0"/>
    <x v="73"/>
    <x v="73"/>
    <x v="4"/>
    <x v="10"/>
    <x v="7"/>
    <x v="13"/>
    <x v="13"/>
    <x v="106"/>
    <x v="120"/>
    <x v="1"/>
  </r>
  <r>
    <x v="279"/>
    <x v="65"/>
    <x v="1"/>
    <x v="0"/>
    <x v="70"/>
    <x v="70"/>
    <x v="2"/>
    <x v="18"/>
    <x v="5"/>
    <x v="16"/>
    <x v="135"/>
    <x v="112"/>
    <x v="10"/>
    <x v="0"/>
  </r>
  <r>
    <x v="280"/>
    <x v="87"/>
    <x v="1"/>
    <x v="1"/>
    <x v="78"/>
    <x v="78"/>
    <x v="2"/>
    <x v="25"/>
    <x v="7"/>
    <x v="9"/>
    <x v="136"/>
    <x v="12"/>
    <x v="121"/>
    <x v="1"/>
  </r>
  <r>
    <x v="281"/>
    <x v="74"/>
    <x v="2"/>
    <x v="0"/>
    <x v="22"/>
    <x v="22"/>
    <x v="0"/>
    <x v="10"/>
    <x v="6"/>
    <x v="13"/>
    <x v="65"/>
    <x v="83"/>
    <x v="90"/>
    <x v="1"/>
  </r>
  <r>
    <x v="282"/>
    <x v="77"/>
    <x v="2"/>
    <x v="0"/>
    <x v="79"/>
    <x v="79"/>
    <x v="2"/>
    <x v="7"/>
    <x v="1"/>
    <x v="7"/>
    <x v="126"/>
    <x v="69"/>
    <x v="115"/>
    <x v="1"/>
  </r>
  <r>
    <x v="283"/>
    <x v="88"/>
    <x v="3"/>
    <x v="1"/>
    <x v="80"/>
    <x v="80"/>
    <x v="2"/>
    <x v="2"/>
    <x v="6"/>
    <x v="2"/>
    <x v="19"/>
    <x v="21"/>
    <x v="21"/>
    <x v="2"/>
  </r>
  <r>
    <x v="284"/>
    <x v="86"/>
    <x v="1"/>
    <x v="0"/>
    <x v="19"/>
    <x v="19"/>
    <x v="0"/>
    <x v="5"/>
    <x v="6"/>
    <x v="5"/>
    <x v="17"/>
    <x v="20"/>
    <x v="20"/>
    <x v="0"/>
  </r>
  <r>
    <x v="285"/>
    <x v="87"/>
    <x v="0"/>
    <x v="0"/>
    <x v="0"/>
    <x v="0"/>
    <x v="0"/>
    <x v="0"/>
    <x v="1"/>
    <x v="0"/>
    <x v="91"/>
    <x v="113"/>
    <x v="130"/>
    <x v="0"/>
  </r>
  <r>
    <x v="286"/>
    <x v="87"/>
    <x v="4"/>
    <x v="1"/>
    <x v="36"/>
    <x v="36"/>
    <x v="0"/>
    <x v="5"/>
    <x v="2"/>
    <x v="5"/>
    <x v="83"/>
    <x v="75"/>
    <x v="77"/>
    <x v="1"/>
  </r>
  <r>
    <x v="287"/>
    <x v="67"/>
    <x v="2"/>
    <x v="1"/>
    <x v="15"/>
    <x v="15"/>
    <x v="0"/>
    <x v="0"/>
    <x v="1"/>
    <x v="0"/>
    <x v="91"/>
    <x v="113"/>
    <x v="130"/>
    <x v="1"/>
  </r>
  <r>
    <x v="288"/>
    <x v="89"/>
    <x v="3"/>
    <x v="0"/>
    <x v="81"/>
    <x v="81"/>
    <x v="2"/>
    <x v="4"/>
    <x v="2"/>
    <x v="1"/>
    <x v="5"/>
    <x v="80"/>
    <x v="77"/>
    <x v="0"/>
  </r>
  <r>
    <x v="289"/>
    <x v="70"/>
    <x v="1"/>
    <x v="0"/>
    <x v="3"/>
    <x v="3"/>
    <x v="2"/>
    <x v="3"/>
    <x v="2"/>
    <x v="3"/>
    <x v="7"/>
    <x v="7"/>
    <x v="7"/>
    <x v="2"/>
  </r>
  <r>
    <x v="290"/>
    <x v="88"/>
    <x v="1"/>
    <x v="0"/>
    <x v="32"/>
    <x v="32"/>
    <x v="1"/>
    <x v="5"/>
    <x v="0"/>
    <x v="5"/>
    <x v="103"/>
    <x v="96"/>
    <x v="109"/>
    <x v="2"/>
  </r>
  <r>
    <x v="291"/>
    <x v="90"/>
    <x v="1"/>
    <x v="1"/>
    <x v="82"/>
    <x v="82"/>
    <x v="2"/>
    <x v="17"/>
    <x v="1"/>
    <x v="21"/>
    <x v="9"/>
    <x v="114"/>
    <x v="131"/>
    <x v="0"/>
  </r>
  <r>
    <x v="292"/>
    <x v="85"/>
    <x v="1"/>
    <x v="0"/>
    <x v="51"/>
    <x v="51"/>
    <x v="1"/>
    <x v="21"/>
    <x v="5"/>
    <x v="9"/>
    <x v="74"/>
    <x v="69"/>
    <x v="68"/>
    <x v="2"/>
  </r>
  <r>
    <x v="293"/>
    <x v="91"/>
    <x v="3"/>
    <x v="0"/>
    <x v="81"/>
    <x v="81"/>
    <x v="2"/>
    <x v="4"/>
    <x v="5"/>
    <x v="1"/>
    <x v="127"/>
    <x v="67"/>
    <x v="53"/>
    <x v="0"/>
  </r>
  <r>
    <x v="294"/>
    <x v="86"/>
    <x v="1"/>
    <x v="0"/>
    <x v="83"/>
    <x v="83"/>
    <x v="2"/>
    <x v="20"/>
    <x v="4"/>
    <x v="8"/>
    <x v="137"/>
    <x v="52"/>
    <x v="132"/>
    <x v="0"/>
  </r>
  <r>
    <x v="295"/>
    <x v="77"/>
    <x v="1"/>
    <x v="1"/>
    <x v="11"/>
    <x v="11"/>
    <x v="0"/>
    <x v="9"/>
    <x v="8"/>
    <x v="9"/>
    <x v="138"/>
    <x v="89"/>
    <x v="105"/>
    <x v="2"/>
  </r>
  <r>
    <x v="296"/>
    <x v="74"/>
    <x v="2"/>
    <x v="1"/>
    <x v="84"/>
    <x v="84"/>
    <x v="4"/>
    <x v="10"/>
    <x v="0"/>
    <x v="13"/>
    <x v="24"/>
    <x v="26"/>
    <x v="26"/>
    <x v="0"/>
  </r>
  <r>
    <x v="297"/>
    <x v="92"/>
    <x v="2"/>
    <x v="1"/>
    <x v="5"/>
    <x v="5"/>
    <x v="1"/>
    <x v="4"/>
    <x v="3"/>
    <x v="4"/>
    <x v="88"/>
    <x v="81"/>
    <x v="84"/>
    <x v="1"/>
  </r>
  <r>
    <x v="298"/>
    <x v="93"/>
    <x v="0"/>
    <x v="0"/>
    <x v="0"/>
    <x v="0"/>
    <x v="0"/>
    <x v="0"/>
    <x v="7"/>
    <x v="0"/>
    <x v="55"/>
    <x v="55"/>
    <x v="55"/>
    <x v="0"/>
  </r>
  <r>
    <x v="299"/>
    <x v="94"/>
    <x v="0"/>
    <x v="0"/>
    <x v="85"/>
    <x v="85"/>
    <x v="2"/>
    <x v="17"/>
    <x v="2"/>
    <x v="22"/>
    <x v="139"/>
    <x v="115"/>
    <x v="9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ATEGOTY PERFORMANCE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C8" firstHeaderRow="0" firstDataRow="1" firstDataCol="1"/>
  <pivotFields count="14">
    <pivotField compact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compact="0" numFmtId="18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compact="0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axis="axisRow" compact="0" showAll="0">
      <items count="7">
        <item x="2"/>
        <item x="5"/>
        <item x="1"/>
        <item x="4"/>
        <item x="3"/>
        <item x="0"/>
        <item t="default"/>
      </items>
    </pivotField>
    <pivotField compact="0" numFmtId="181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numFmtId="181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numFmtId="181" showAll="0">
      <items count="1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dataField="1" compact="0" numFmtId="181" showAll="0">
      <items count="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dataField="1" compact="0" numFmtId="181" showAll="0">
      <items count="134">
        <item x="39"/>
        <item x="48"/>
        <item x="3"/>
        <item x="128"/>
        <item x="7"/>
        <item x="74"/>
        <item x="16"/>
        <item x="71"/>
        <item x="46"/>
        <item x="102"/>
        <item x="41"/>
        <item x="122"/>
        <item x="85"/>
        <item x="116"/>
        <item x="95"/>
        <item x="29"/>
        <item x="50"/>
        <item x="88"/>
        <item x="109"/>
        <item x="79"/>
        <item x="92"/>
        <item x="35"/>
        <item x="6"/>
        <item x="77"/>
        <item x="20"/>
        <item x="24"/>
        <item x="32"/>
        <item x="40"/>
        <item x="53"/>
        <item x="75"/>
        <item x="86"/>
        <item x="94"/>
        <item x="1"/>
        <item x="47"/>
        <item x="62"/>
        <item x="73"/>
        <item x="101"/>
        <item x="87"/>
        <item x="66"/>
        <item x="25"/>
        <item x="127"/>
        <item x="56"/>
        <item x="89"/>
        <item x="51"/>
        <item x="83"/>
        <item x="30"/>
        <item x="18"/>
        <item x="98"/>
        <item x="63"/>
        <item x="65"/>
        <item x="17"/>
        <item x="43"/>
        <item x="118"/>
        <item x="57"/>
        <item x="103"/>
        <item x="14"/>
        <item x="107"/>
        <item x="113"/>
        <item x="34"/>
        <item x="0"/>
        <item x="84"/>
        <item x="15"/>
        <item x="130"/>
        <item x="5"/>
        <item x="2"/>
        <item x="59"/>
        <item x="55"/>
        <item x="52"/>
        <item x="58"/>
        <item x="126"/>
        <item x="26"/>
        <item x="4"/>
        <item x="123"/>
        <item x="21"/>
        <item x="64"/>
        <item x="22"/>
        <item x="111"/>
        <item x="90"/>
        <item x="120"/>
        <item x="45"/>
        <item x="131"/>
        <item x="106"/>
        <item x="132"/>
        <item x="104"/>
        <item x="119"/>
        <item x="100"/>
        <item x="121"/>
        <item x="61"/>
        <item x="110"/>
        <item x="115"/>
        <item x="60"/>
        <item x="76"/>
        <item x="36"/>
        <item x="54"/>
        <item x="11"/>
        <item x="97"/>
        <item x="13"/>
        <item x="9"/>
        <item x="10"/>
        <item x="99"/>
        <item x="69"/>
        <item x="33"/>
        <item x="81"/>
        <item x="68"/>
        <item x="105"/>
        <item x="78"/>
        <item x="114"/>
        <item x="28"/>
        <item x="96"/>
        <item x="12"/>
        <item x="70"/>
        <item x="112"/>
        <item x="72"/>
        <item x="124"/>
        <item x="129"/>
        <item x="23"/>
        <item x="44"/>
        <item x="49"/>
        <item x="8"/>
        <item x="125"/>
        <item x="27"/>
        <item x="80"/>
        <item x="93"/>
        <item x="82"/>
        <item x="38"/>
        <item x="31"/>
        <item x="42"/>
        <item x="117"/>
        <item x="37"/>
        <item x="67"/>
        <item x="91"/>
        <item x="19"/>
        <item x="108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1" baseField="0" baseItem="0" numFmtId="179"/>
    <dataField name="Sum of TOTAL PROFIT" fld="12" baseField="0" baseItem="0" numFmtId="179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CITY PERFORMANCE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E1:G7" firstHeaderRow="0" firstDataRow="1" firstDataCol="1"/>
  <pivotFields count="14">
    <pivotField compact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compact="0" numFmtId="18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compact="0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compact="0" showAll="0">
      <items count="7">
        <item x="2"/>
        <item x="5"/>
        <item x="1"/>
        <item x="4"/>
        <item x="3"/>
        <item x="0"/>
        <item t="default"/>
      </items>
    </pivotField>
    <pivotField compact="0" numFmtId="181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numFmtId="181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numFmtId="181" showAll="0">
      <items count="1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dataField="1" compact="0" numFmtId="181" showAll="0">
      <items count="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dataField="1" compact="0" numFmtId="181" showAll="0">
      <items count="134">
        <item x="39"/>
        <item x="48"/>
        <item x="3"/>
        <item x="128"/>
        <item x="7"/>
        <item x="74"/>
        <item x="16"/>
        <item x="71"/>
        <item x="46"/>
        <item x="102"/>
        <item x="41"/>
        <item x="122"/>
        <item x="85"/>
        <item x="116"/>
        <item x="95"/>
        <item x="29"/>
        <item x="50"/>
        <item x="88"/>
        <item x="109"/>
        <item x="79"/>
        <item x="92"/>
        <item x="35"/>
        <item x="6"/>
        <item x="77"/>
        <item x="20"/>
        <item x="24"/>
        <item x="32"/>
        <item x="40"/>
        <item x="53"/>
        <item x="75"/>
        <item x="86"/>
        <item x="94"/>
        <item x="1"/>
        <item x="47"/>
        <item x="62"/>
        <item x="73"/>
        <item x="101"/>
        <item x="87"/>
        <item x="66"/>
        <item x="25"/>
        <item x="127"/>
        <item x="56"/>
        <item x="89"/>
        <item x="51"/>
        <item x="83"/>
        <item x="30"/>
        <item x="18"/>
        <item x="98"/>
        <item x="63"/>
        <item x="65"/>
        <item x="17"/>
        <item x="43"/>
        <item x="118"/>
        <item x="57"/>
        <item x="103"/>
        <item x="14"/>
        <item x="107"/>
        <item x="113"/>
        <item x="34"/>
        <item x="0"/>
        <item x="84"/>
        <item x="15"/>
        <item x="130"/>
        <item x="5"/>
        <item x="2"/>
        <item x="59"/>
        <item x="55"/>
        <item x="52"/>
        <item x="58"/>
        <item x="126"/>
        <item x="26"/>
        <item x="4"/>
        <item x="123"/>
        <item x="21"/>
        <item x="64"/>
        <item x="22"/>
        <item x="111"/>
        <item x="90"/>
        <item x="120"/>
        <item x="45"/>
        <item x="131"/>
        <item x="106"/>
        <item x="132"/>
        <item x="104"/>
        <item x="119"/>
        <item x="100"/>
        <item x="121"/>
        <item x="61"/>
        <item x="110"/>
        <item x="115"/>
        <item x="60"/>
        <item x="76"/>
        <item x="36"/>
        <item x="54"/>
        <item x="11"/>
        <item x="97"/>
        <item x="13"/>
        <item x="9"/>
        <item x="10"/>
        <item x="99"/>
        <item x="69"/>
        <item x="33"/>
        <item x="81"/>
        <item x="68"/>
        <item x="105"/>
        <item x="78"/>
        <item x="114"/>
        <item x="28"/>
        <item x="96"/>
        <item x="12"/>
        <item x="70"/>
        <item x="112"/>
        <item x="72"/>
        <item x="124"/>
        <item x="129"/>
        <item x="23"/>
        <item x="44"/>
        <item x="49"/>
        <item x="8"/>
        <item x="125"/>
        <item x="27"/>
        <item x="80"/>
        <item x="93"/>
        <item x="82"/>
        <item x="38"/>
        <item x="31"/>
        <item x="42"/>
        <item x="117"/>
        <item x="37"/>
        <item x="67"/>
        <item x="91"/>
        <item x="19"/>
        <item x="108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1" baseField="0" baseItem="0" numFmtId="179"/>
    <dataField name="Sum of TOTAL PROFIT" fld="12" baseField="0" baseItem="0" numFmtId="179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OP 10 PRODUCT BY REVENUE &amp; PROFIT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0:C22" firstHeaderRow="0" firstDataRow="1" firstDataCol="1"/>
  <pivotFields count="14">
    <pivotField compact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compact="0" numFmtId="18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axis="axisRow" measureFilter="1" compact="0" sortType="ascending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7">
        <item x="2"/>
        <item x="5"/>
        <item x="1"/>
        <item x="4"/>
        <item x="3"/>
        <item x="0"/>
        <item t="default"/>
      </items>
    </pivotField>
    <pivotField compact="0" numFmtId="181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numFmtId="181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numFmtId="181" showAll="0">
      <items count="1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dataField="1" compact="0" numFmtId="181" showAll="0">
      <items count="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dataField="1" compact="0" numFmtId="181" showAll="0">
      <items count="134">
        <item x="39"/>
        <item x="48"/>
        <item x="3"/>
        <item x="128"/>
        <item x="7"/>
        <item x="74"/>
        <item x="16"/>
        <item x="71"/>
        <item x="46"/>
        <item x="102"/>
        <item x="41"/>
        <item x="122"/>
        <item x="85"/>
        <item x="116"/>
        <item x="95"/>
        <item x="29"/>
        <item x="50"/>
        <item x="88"/>
        <item x="109"/>
        <item x="79"/>
        <item x="92"/>
        <item x="35"/>
        <item x="6"/>
        <item x="77"/>
        <item x="20"/>
        <item x="24"/>
        <item x="32"/>
        <item x="40"/>
        <item x="53"/>
        <item x="75"/>
        <item x="86"/>
        <item x="94"/>
        <item x="1"/>
        <item x="47"/>
        <item x="62"/>
        <item x="73"/>
        <item x="101"/>
        <item x="87"/>
        <item x="66"/>
        <item x="25"/>
        <item x="127"/>
        <item x="56"/>
        <item x="89"/>
        <item x="51"/>
        <item x="83"/>
        <item x="30"/>
        <item x="18"/>
        <item x="98"/>
        <item x="63"/>
        <item x="65"/>
        <item x="17"/>
        <item x="43"/>
        <item x="118"/>
        <item x="57"/>
        <item x="103"/>
        <item x="14"/>
        <item x="107"/>
        <item x="113"/>
        <item x="34"/>
        <item x="0"/>
        <item x="84"/>
        <item x="15"/>
        <item x="130"/>
        <item x="5"/>
        <item x="2"/>
        <item x="59"/>
        <item x="55"/>
        <item x="52"/>
        <item x="58"/>
        <item x="126"/>
        <item x="26"/>
        <item x="4"/>
        <item x="123"/>
        <item x="21"/>
        <item x="64"/>
        <item x="22"/>
        <item x="111"/>
        <item x="90"/>
        <item x="120"/>
        <item x="45"/>
        <item x="131"/>
        <item x="106"/>
        <item x="132"/>
        <item x="104"/>
        <item x="119"/>
        <item x="100"/>
        <item x="121"/>
        <item x="61"/>
        <item x="110"/>
        <item x="115"/>
        <item x="60"/>
        <item x="76"/>
        <item x="36"/>
        <item x="54"/>
        <item x="11"/>
        <item x="97"/>
        <item x="13"/>
        <item x="9"/>
        <item x="10"/>
        <item x="99"/>
        <item x="69"/>
        <item x="33"/>
        <item x="81"/>
        <item x="68"/>
        <item x="105"/>
        <item x="78"/>
        <item x="114"/>
        <item x="28"/>
        <item x="96"/>
        <item x="12"/>
        <item x="70"/>
        <item x="112"/>
        <item x="72"/>
        <item x="124"/>
        <item x="129"/>
        <item x="23"/>
        <item x="44"/>
        <item x="49"/>
        <item x="8"/>
        <item x="125"/>
        <item x="27"/>
        <item x="80"/>
        <item x="93"/>
        <item x="82"/>
        <item x="38"/>
        <item x="31"/>
        <item x="42"/>
        <item x="117"/>
        <item x="37"/>
        <item x="67"/>
        <item x="91"/>
        <item x="19"/>
        <item x="108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5"/>
  </rowFields>
  <rowItems count="12">
    <i>
      <x v="28"/>
    </i>
    <i>
      <x v="47"/>
    </i>
    <i>
      <x v="21"/>
    </i>
    <i>
      <x v="27"/>
    </i>
    <i>
      <x v="30"/>
    </i>
    <i>
      <x v="38"/>
    </i>
    <i>
      <x v="18"/>
    </i>
    <i>
      <x v="58"/>
    </i>
    <i>
      <x v="8"/>
    </i>
    <i>
      <x v="25"/>
    </i>
    <i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1" baseField="0" baseItem="0" numFmtId="179"/>
    <dataField name="Sum of TOTAL PROFIT" fld="12" baseField="0" baseItem="0" numFmtId="179"/>
  </dataFields>
  <pivotTableStyleInfo name="PivotStyleMedium9" showRowHeaders="1" showColHeaders="1" showLastColumn="1"/>
  <filters count="1">
    <filter evalOrder="-1" fld="5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AYMENT METHOD PEFORMANCE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E10:G14" firstHeaderRow="0" firstDataRow="1" firstDataCol="1"/>
  <pivotFields count="14">
    <pivotField compact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compact="0" numFmtId="18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compact="0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compact="0" showAll="0">
      <items count="7">
        <item x="2"/>
        <item x="5"/>
        <item x="1"/>
        <item x="4"/>
        <item x="3"/>
        <item x="0"/>
        <item t="default"/>
      </items>
    </pivotField>
    <pivotField compact="0" numFmtId="181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numFmtId="181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numFmtId="181" showAll="0">
      <items count="1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dataField="1" compact="0" numFmtId="181" showAll="0">
      <items count="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dataField="1" compact="0" numFmtId="181" showAll="0">
      <items count="134">
        <item x="39"/>
        <item x="48"/>
        <item x="3"/>
        <item x="128"/>
        <item x="7"/>
        <item x="74"/>
        <item x="16"/>
        <item x="71"/>
        <item x="46"/>
        <item x="102"/>
        <item x="41"/>
        <item x="122"/>
        <item x="85"/>
        <item x="116"/>
        <item x="95"/>
        <item x="29"/>
        <item x="50"/>
        <item x="88"/>
        <item x="109"/>
        <item x="79"/>
        <item x="92"/>
        <item x="35"/>
        <item x="6"/>
        <item x="77"/>
        <item x="20"/>
        <item x="24"/>
        <item x="32"/>
        <item x="40"/>
        <item x="53"/>
        <item x="75"/>
        <item x="86"/>
        <item x="94"/>
        <item x="1"/>
        <item x="47"/>
        <item x="62"/>
        <item x="73"/>
        <item x="101"/>
        <item x="87"/>
        <item x="66"/>
        <item x="25"/>
        <item x="127"/>
        <item x="56"/>
        <item x="89"/>
        <item x="51"/>
        <item x="83"/>
        <item x="30"/>
        <item x="18"/>
        <item x="98"/>
        <item x="63"/>
        <item x="65"/>
        <item x="17"/>
        <item x="43"/>
        <item x="118"/>
        <item x="57"/>
        <item x="103"/>
        <item x="14"/>
        <item x="107"/>
        <item x="113"/>
        <item x="34"/>
        <item x="0"/>
        <item x="84"/>
        <item x="15"/>
        <item x="130"/>
        <item x="5"/>
        <item x="2"/>
        <item x="59"/>
        <item x="55"/>
        <item x="52"/>
        <item x="58"/>
        <item x="126"/>
        <item x="26"/>
        <item x="4"/>
        <item x="123"/>
        <item x="21"/>
        <item x="64"/>
        <item x="22"/>
        <item x="111"/>
        <item x="90"/>
        <item x="120"/>
        <item x="45"/>
        <item x="131"/>
        <item x="106"/>
        <item x="132"/>
        <item x="104"/>
        <item x="119"/>
        <item x="100"/>
        <item x="121"/>
        <item x="61"/>
        <item x="110"/>
        <item x="115"/>
        <item x="60"/>
        <item x="76"/>
        <item x="36"/>
        <item x="54"/>
        <item x="11"/>
        <item x="97"/>
        <item x="13"/>
        <item x="9"/>
        <item x="10"/>
        <item x="99"/>
        <item x="69"/>
        <item x="33"/>
        <item x="81"/>
        <item x="68"/>
        <item x="105"/>
        <item x="78"/>
        <item x="114"/>
        <item x="28"/>
        <item x="96"/>
        <item x="12"/>
        <item x="70"/>
        <item x="112"/>
        <item x="72"/>
        <item x="124"/>
        <item x="129"/>
        <item x="23"/>
        <item x="44"/>
        <item x="49"/>
        <item x="8"/>
        <item x="125"/>
        <item x="27"/>
        <item x="80"/>
        <item x="93"/>
        <item x="82"/>
        <item x="38"/>
        <item x="31"/>
        <item x="42"/>
        <item x="117"/>
        <item x="37"/>
        <item x="67"/>
        <item x="91"/>
        <item x="19"/>
        <item x="108"/>
        <item t="default"/>
      </items>
    </pivotField>
    <pivotField axis="axisRow" compact="0" showAll="0">
      <items count="4">
        <item x="0"/>
        <item x="1"/>
        <item x="2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1" baseField="0" baseItem="0" numFmtId="179"/>
    <dataField name="Sum of TOTAL PROFIT" fld="12" baseField="0" baseItem="0" numFmtId="179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MEMEBERSHIP PEFORMANCE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E17:H20" firstHeaderRow="0" firstDataRow="1" firstDataCol="1"/>
  <pivotFields count="14">
    <pivotField compact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compact="0" numFmtId="18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compact="0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compact="0" showAll="0">
      <items count="7">
        <item x="2"/>
        <item x="5"/>
        <item x="1"/>
        <item x="4"/>
        <item x="3"/>
        <item x="0"/>
        <item t="default"/>
      </items>
    </pivotField>
    <pivotField compact="0" numFmtId="181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numFmtId="181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numFmtId="181" showAll="0">
      <items count="1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dataField="1" compact="0" numFmtId="181" showAll="0">
      <items count="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dataField="1" compact="0" numFmtId="181" showAll="0">
      <items count="134">
        <item x="39"/>
        <item x="48"/>
        <item x="3"/>
        <item x="128"/>
        <item x="7"/>
        <item x="74"/>
        <item x="16"/>
        <item x="71"/>
        <item x="46"/>
        <item x="102"/>
        <item x="41"/>
        <item x="122"/>
        <item x="85"/>
        <item x="116"/>
        <item x="95"/>
        <item x="29"/>
        <item x="50"/>
        <item x="88"/>
        <item x="109"/>
        <item x="79"/>
        <item x="92"/>
        <item x="35"/>
        <item x="6"/>
        <item x="77"/>
        <item x="20"/>
        <item x="24"/>
        <item x="32"/>
        <item x="40"/>
        <item x="53"/>
        <item x="75"/>
        <item x="86"/>
        <item x="94"/>
        <item x="1"/>
        <item x="47"/>
        <item x="62"/>
        <item x="73"/>
        <item x="101"/>
        <item x="87"/>
        <item x="66"/>
        <item x="25"/>
        <item x="127"/>
        <item x="56"/>
        <item x="89"/>
        <item x="51"/>
        <item x="83"/>
        <item x="30"/>
        <item x="18"/>
        <item x="98"/>
        <item x="63"/>
        <item x="65"/>
        <item x="17"/>
        <item x="43"/>
        <item x="118"/>
        <item x="57"/>
        <item x="103"/>
        <item x="14"/>
        <item x="107"/>
        <item x="113"/>
        <item x="34"/>
        <item x="0"/>
        <item x="84"/>
        <item x="15"/>
        <item x="130"/>
        <item x="5"/>
        <item x="2"/>
        <item x="59"/>
        <item x="55"/>
        <item x="52"/>
        <item x="58"/>
        <item x="126"/>
        <item x="26"/>
        <item x="4"/>
        <item x="123"/>
        <item x="21"/>
        <item x="64"/>
        <item x="22"/>
        <item x="111"/>
        <item x="90"/>
        <item x="120"/>
        <item x="45"/>
        <item x="131"/>
        <item x="106"/>
        <item x="132"/>
        <item x="104"/>
        <item x="119"/>
        <item x="100"/>
        <item x="121"/>
        <item x="61"/>
        <item x="110"/>
        <item x="115"/>
        <item x="60"/>
        <item x="76"/>
        <item x="36"/>
        <item x="54"/>
        <item x="11"/>
        <item x="97"/>
        <item x="13"/>
        <item x="9"/>
        <item x="10"/>
        <item x="99"/>
        <item x="69"/>
        <item x="33"/>
        <item x="81"/>
        <item x="68"/>
        <item x="105"/>
        <item x="78"/>
        <item x="114"/>
        <item x="28"/>
        <item x="96"/>
        <item x="12"/>
        <item x="70"/>
        <item x="112"/>
        <item x="72"/>
        <item x="124"/>
        <item x="129"/>
        <item x="23"/>
        <item x="44"/>
        <item x="49"/>
        <item x="8"/>
        <item x="125"/>
        <item x="27"/>
        <item x="80"/>
        <item x="93"/>
        <item x="82"/>
        <item x="38"/>
        <item x="31"/>
        <item x="42"/>
        <item x="117"/>
        <item x="37"/>
        <item x="67"/>
        <item x="91"/>
        <item x="19"/>
        <item x="108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QUANTITY SOLD" fld="8" subtotal="count" baseField="0" baseItem="0"/>
    <dataField name="Sum of REVENUE" fld="11" baseField="0" baseItem="0" numFmtId="179"/>
    <dataField name="Sum of TOTAL PROFIT" fld="12" baseField="0" baseItem="0" numFmtId="179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MONTHLY PERFORMANCE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E22:G27" firstHeaderRow="0" firstDataRow="1" firstDataCol="1"/>
  <pivotFields count="14">
    <pivotField compact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axis="axisRow" compact="0" numFmtId="18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compact="0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compact="0" showAll="0">
      <items count="7">
        <item x="2"/>
        <item x="5"/>
        <item x="1"/>
        <item x="4"/>
        <item x="3"/>
        <item x="0"/>
        <item t="default"/>
      </items>
    </pivotField>
    <pivotField compact="0" numFmtId="181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numFmtId="181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numFmtId="181" showAll="0">
      <items count="1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dataField="1" compact="0" numFmtId="181" showAll="0">
      <items count="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dataField="1" compact="0" numFmtId="181" showAll="0">
      <items count="134">
        <item x="39"/>
        <item x="48"/>
        <item x="3"/>
        <item x="128"/>
        <item x="7"/>
        <item x="74"/>
        <item x="16"/>
        <item x="71"/>
        <item x="46"/>
        <item x="102"/>
        <item x="41"/>
        <item x="122"/>
        <item x="85"/>
        <item x="116"/>
        <item x="95"/>
        <item x="29"/>
        <item x="50"/>
        <item x="88"/>
        <item x="109"/>
        <item x="79"/>
        <item x="92"/>
        <item x="35"/>
        <item x="6"/>
        <item x="77"/>
        <item x="20"/>
        <item x="24"/>
        <item x="32"/>
        <item x="40"/>
        <item x="53"/>
        <item x="75"/>
        <item x="86"/>
        <item x="94"/>
        <item x="1"/>
        <item x="47"/>
        <item x="62"/>
        <item x="73"/>
        <item x="101"/>
        <item x="87"/>
        <item x="66"/>
        <item x="25"/>
        <item x="127"/>
        <item x="56"/>
        <item x="89"/>
        <item x="51"/>
        <item x="83"/>
        <item x="30"/>
        <item x="18"/>
        <item x="98"/>
        <item x="63"/>
        <item x="65"/>
        <item x="17"/>
        <item x="43"/>
        <item x="118"/>
        <item x="57"/>
        <item x="103"/>
        <item x="14"/>
        <item x="107"/>
        <item x="113"/>
        <item x="34"/>
        <item x="0"/>
        <item x="84"/>
        <item x="15"/>
        <item x="130"/>
        <item x="5"/>
        <item x="2"/>
        <item x="59"/>
        <item x="55"/>
        <item x="52"/>
        <item x="58"/>
        <item x="126"/>
        <item x="26"/>
        <item x="4"/>
        <item x="123"/>
        <item x="21"/>
        <item x="64"/>
        <item x="22"/>
        <item x="111"/>
        <item x="90"/>
        <item x="120"/>
        <item x="45"/>
        <item x="131"/>
        <item x="106"/>
        <item x="132"/>
        <item x="104"/>
        <item x="119"/>
        <item x="100"/>
        <item x="121"/>
        <item x="61"/>
        <item x="110"/>
        <item x="115"/>
        <item x="60"/>
        <item x="76"/>
        <item x="36"/>
        <item x="54"/>
        <item x="11"/>
        <item x="97"/>
        <item x="13"/>
        <item x="9"/>
        <item x="10"/>
        <item x="99"/>
        <item x="69"/>
        <item x="33"/>
        <item x="81"/>
        <item x="68"/>
        <item x="105"/>
        <item x="78"/>
        <item x="114"/>
        <item x="28"/>
        <item x="96"/>
        <item x="12"/>
        <item x="70"/>
        <item x="112"/>
        <item x="72"/>
        <item x="124"/>
        <item x="129"/>
        <item x="23"/>
        <item x="44"/>
        <item x="49"/>
        <item x="8"/>
        <item x="125"/>
        <item x="27"/>
        <item x="80"/>
        <item x="93"/>
        <item x="82"/>
        <item x="38"/>
        <item x="31"/>
        <item x="42"/>
        <item x="117"/>
        <item x="37"/>
        <item x="67"/>
        <item x="91"/>
        <item x="19"/>
        <item x="108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1"/>
  </rowFields>
  <rowItems count="5"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1" baseField="0" baseItem="0" numFmtId="179"/>
    <dataField name="Sum of TOTAL PROFIT" fld="12" baseField="0" baseItem="0" numFmtId="179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OP 10 PRODUCT BY QUANTITY SOLD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I1:J12" firstHeaderRow="1" firstDataRow="1" firstDataCol="1"/>
  <pivotFields count="14">
    <pivotField compact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compact="0" numFmtId="18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multipleItemSelectionAllowed="1" showAll="0">
      <items count="3">
        <item x="0"/>
        <item x="1"/>
        <item t="default"/>
      </items>
    </pivotField>
    <pivotField compact="0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axis="axisRow" measureFilter="1" compact="0" sortType="ascending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7">
        <item x="2"/>
        <item x="5"/>
        <item x="1"/>
        <item x="4"/>
        <item x="3"/>
        <item x="0"/>
        <item t="default"/>
      </items>
    </pivotField>
    <pivotField compact="0" numFmtId="181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numFmtId="181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numFmtId="181" showAll="0">
      <items count="1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compact="0" numFmtId="181" showAll="0">
      <items count="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compact="0" numFmtId="181" showAll="0">
      <items count="134">
        <item x="39"/>
        <item x="48"/>
        <item x="3"/>
        <item x="128"/>
        <item x="7"/>
        <item x="74"/>
        <item x="16"/>
        <item x="71"/>
        <item x="46"/>
        <item x="102"/>
        <item x="41"/>
        <item x="122"/>
        <item x="85"/>
        <item x="116"/>
        <item x="95"/>
        <item x="29"/>
        <item x="50"/>
        <item x="88"/>
        <item x="109"/>
        <item x="79"/>
        <item x="92"/>
        <item x="35"/>
        <item x="6"/>
        <item x="77"/>
        <item x="20"/>
        <item x="24"/>
        <item x="32"/>
        <item x="40"/>
        <item x="53"/>
        <item x="75"/>
        <item x="86"/>
        <item x="94"/>
        <item x="1"/>
        <item x="47"/>
        <item x="62"/>
        <item x="73"/>
        <item x="101"/>
        <item x="87"/>
        <item x="66"/>
        <item x="25"/>
        <item x="127"/>
        <item x="56"/>
        <item x="89"/>
        <item x="51"/>
        <item x="83"/>
        <item x="30"/>
        <item x="18"/>
        <item x="98"/>
        <item x="63"/>
        <item x="65"/>
        <item x="17"/>
        <item x="43"/>
        <item x="118"/>
        <item x="57"/>
        <item x="103"/>
        <item x="14"/>
        <item x="107"/>
        <item x="113"/>
        <item x="34"/>
        <item x="0"/>
        <item x="84"/>
        <item x="15"/>
        <item x="130"/>
        <item x="5"/>
        <item x="2"/>
        <item x="59"/>
        <item x="55"/>
        <item x="52"/>
        <item x="58"/>
        <item x="126"/>
        <item x="26"/>
        <item x="4"/>
        <item x="123"/>
        <item x="21"/>
        <item x="64"/>
        <item x="22"/>
        <item x="111"/>
        <item x="90"/>
        <item x="120"/>
        <item x="45"/>
        <item x="131"/>
        <item x="106"/>
        <item x="132"/>
        <item x="104"/>
        <item x="119"/>
        <item x="100"/>
        <item x="121"/>
        <item x="61"/>
        <item x="110"/>
        <item x="115"/>
        <item x="60"/>
        <item x="76"/>
        <item x="36"/>
        <item x="54"/>
        <item x="11"/>
        <item x="97"/>
        <item x="13"/>
        <item x="9"/>
        <item x="10"/>
        <item x="99"/>
        <item x="69"/>
        <item x="33"/>
        <item x="81"/>
        <item x="68"/>
        <item x="105"/>
        <item x="78"/>
        <item x="114"/>
        <item x="28"/>
        <item x="96"/>
        <item x="12"/>
        <item x="70"/>
        <item x="112"/>
        <item x="72"/>
        <item x="124"/>
        <item x="129"/>
        <item x="23"/>
        <item x="44"/>
        <item x="49"/>
        <item x="8"/>
        <item x="125"/>
        <item x="27"/>
        <item x="80"/>
        <item x="93"/>
        <item x="82"/>
        <item x="38"/>
        <item x="31"/>
        <item x="42"/>
        <item x="117"/>
        <item x="37"/>
        <item x="67"/>
        <item x="91"/>
        <item x="19"/>
        <item x="108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5"/>
  </rowFields>
  <rowItems count="11">
    <i>
      <x v="8"/>
    </i>
    <i>
      <x v="13"/>
    </i>
    <i>
      <x v="5"/>
    </i>
    <i>
      <x v="49"/>
    </i>
    <i>
      <x v="47"/>
    </i>
    <i>
      <x v="32"/>
    </i>
    <i>
      <x v="22"/>
    </i>
    <i>
      <x v="31"/>
    </i>
    <i>
      <x v="15"/>
    </i>
    <i>
      <x v="30"/>
    </i>
    <i t="grand">
      <x/>
    </i>
  </rowItems>
  <colItems count="1">
    <i/>
  </colItems>
  <dataFields count="1">
    <dataField name="Sum of QUANTITY SOLD" fld="8" baseField="0" baseItem="0"/>
  </dataFields>
  <pivotTableStyleInfo name="PivotStyleMedium9" showRowHeaders="1" showColHeaders="1" showLastColumn="1"/>
  <filters count="1">
    <filter evalOrder="-1" fld="5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KPI TOTAL PROFIT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:A3" firstHeaderRow="1" firstDataRow="1" firstDataCol="0"/>
  <pivotFields count="14">
    <pivotField compact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compact="0" numFmtId="182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6">
        <item x="2"/>
        <item x="4"/>
        <item x="0"/>
        <item x="3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87">
        <item x="1"/>
        <item x="19"/>
        <item x="35"/>
        <item x="29"/>
        <item x="41"/>
        <item x="13"/>
        <item x="15"/>
        <item x="20"/>
        <item x="40"/>
        <item x="44"/>
        <item x="48"/>
        <item x="49"/>
        <item x="12"/>
        <item x="11"/>
        <item x="9"/>
        <item x="28"/>
        <item x="14"/>
        <item x="21"/>
        <item x="23"/>
        <item x="8"/>
        <item x="31"/>
        <item x="16"/>
        <item x="22"/>
        <item x="39"/>
        <item x="47"/>
        <item x="57"/>
        <item x="36"/>
        <item x="6"/>
        <item x="46"/>
        <item x="17"/>
        <item x="38"/>
        <item x="18"/>
        <item x="58"/>
        <item x="25"/>
        <item x="27"/>
        <item x="37"/>
        <item x="4"/>
        <item x="42"/>
        <item x="55"/>
        <item x="0"/>
        <item x="33"/>
        <item x="24"/>
        <item x="26"/>
        <item x="54"/>
        <item x="2"/>
        <item x="32"/>
        <item x="50"/>
        <item x="52"/>
        <item x="45"/>
        <item x="53"/>
        <item x="5"/>
        <item x="61"/>
        <item x="30"/>
        <item x="10"/>
        <item x="59"/>
        <item x="43"/>
        <item x="51"/>
        <item x="56"/>
        <item x="3"/>
        <item x="7"/>
        <item x="34"/>
        <item x="66"/>
        <item x="60"/>
        <item x="63"/>
        <item x="81"/>
        <item x="62"/>
        <item x="76"/>
        <item x="71"/>
        <item x="67"/>
        <item x="78"/>
        <item x="83"/>
        <item x="82"/>
        <item x="80"/>
        <item x="79"/>
        <item x="85"/>
        <item x="69"/>
        <item x="70"/>
        <item x="75"/>
        <item x="65"/>
        <item x="64"/>
        <item x="77"/>
        <item x="73"/>
        <item x="84"/>
        <item x="68"/>
        <item x="72"/>
        <item x="74"/>
        <item t="default"/>
      </items>
    </pivotField>
    <pivotField compact="0" showAll="0">
      <items count="87">
        <item x="68"/>
        <item x="35"/>
        <item x="78"/>
        <item x="2"/>
        <item x="50"/>
        <item x="24"/>
        <item x="54"/>
        <item x="32"/>
        <item x="26"/>
        <item x="19"/>
        <item x="1"/>
        <item x="15"/>
        <item x="20"/>
        <item x="13"/>
        <item x="76"/>
        <item x="31"/>
        <item x="21"/>
        <item x="23"/>
        <item x="8"/>
        <item x="14"/>
        <item x="67"/>
        <item x="71"/>
        <item x="3"/>
        <item x="45"/>
        <item x="29"/>
        <item x="75"/>
        <item x="65"/>
        <item x="64"/>
        <item x="10"/>
        <item x="59"/>
        <item x="43"/>
        <item x="51"/>
        <item x="5"/>
        <item x="52"/>
        <item x="16"/>
        <item x="47"/>
        <item x="57"/>
        <item x="22"/>
        <item x="39"/>
        <item x="27"/>
        <item x="25"/>
        <item x="36"/>
        <item x="6"/>
        <item x="46"/>
        <item x="17"/>
        <item x="55"/>
        <item x="72"/>
        <item x="40"/>
        <item x="49"/>
        <item x="12"/>
        <item x="11"/>
        <item x="9"/>
        <item x="44"/>
        <item x="28"/>
        <item x="48"/>
        <item x="7"/>
        <item x="74"/>
        <item x="41"/>
        <item x="18"/>
        <item x="30"/>
        <item x="61"/>
        <item x="0"/>
        <item x="33"/>
        <item x="53"/>
        <item x="58"/>
        <item x="62"/>
        <item x="34"/>
        <item x="69"/>
        <item x="70"/>
        <item x="66"/>
        <item x="60"/>
        <item x="38"/>
        <item x="56"/>
        <item x="85"/>
        <item x="73"/>
        <item x="84"/>
        <item x="80"/>
        <item x="81"/>
        <item x="63"/>
        <item x="77"/>
        <item x="79"/>
        <item x="82"/>
        <item x="83"/>
        <item x="4"/>
        <item x="42"/>
        <item x="37"/>
        <item t="default"/>
      </items>
    </pivotField>
    <pivotField compact="0" showAll="0">
      <items count="7">
        <item x="2"/>
        <item x="5"/>
        <item x="1"/>
        <item x="4"/>
        <item x="3"/>
        <item x="0"/>
        <item t="default"/>
      </items>
    </pivotField>
    <pivotField compact="0" numFmtId="181" showAll="0">
      <items count="27">
        <item x="23"/>
        <item x="3"/>
        <item x="5"/>
        <item x="1"/>
        <item x="22"/>
        <item x="16"/>
        <item x="4"/>
        <item x="11"/>
        <item x="0"/>
        <item x="8"/>
        <item x="2"/>
        <item x="10"/>
        <item x="20"/>
        <item x="9"/>
        <item x="13"/>
        <item x="21"/>
        <item x="19"/>
        <item x="25"/>
        <item x="7"/>
        <item x="17"/>
        <item x="18"/>
        <item x="14"/>
        <item x="6"/>
        <item x="12"/>
        <item x="15"/>
        <item x="24"/>
        <item t="default"/>
      </items>
    </pivotField>
    <pivotField compact="0" showAll="0">
      <items count="10">
        <item x="0"/>
        <item x="3"/>
        <item x="8"/>
        <item x="1"/>
        <item x="2"/>
        <item x="6"/>
        <item x="7"/>
        <item x="4"/>
        <item x="5"/>
        <item t="default"/>
      </items>
    </pivotField>
    <pivotField compact="0" numFmtId="181" showAll="0">
      <items count="25">
        <item x="3"/>
        <item x="5"/>
        <item x="1"/>
        <item x="19"/>
        <item x="11"/>
        <item x="4"/>
        <item x="0"/>
        <item x="17"/>
        <item x="23"/>
        <item x="2"/>
        <item x="13"/>
        <item x="8"/>
        <item x="10"/>
        <item x="9"/>
        <item x="7"/>
        <item x="21"/>
        <item x="22"/>
        <item x="16"/>
        <item x="14"/>
        <item x="18"/>
        <item x="6"/>
        <item x="12"/>
        <item x="15"/>
        <item x="20"/>
        <item t="default"/>
      </items>
    </pivotField>
    <pivotField compact="0" numFmtId="181" showAll="0">
      <items count="141">
        <item x="132"/>
        <item x="98"/>
        <item x="77"/>
        <item x="129"/>
        <item x="124"/>
        <item x="38"/>
        <item x="48"/>
        <item x="95"/>
        <item x="3"/>
        <item x="7"/>
        <item x="16"/>
        <item x="46"/>
        <item x="40"/>
        <item x="103"/>
        <item x="23"/>
        <item x="92"/>
        <item x="6"/>
        <item x="1"/>
        <item x="83"/>
        <item x="79"/>
        <item x="17"/>
        <item x="28"/>
        <item x="22"/>
        <item x="99"/>
        <item x="39"/>
        <item x="53"/>
        <item x="80"/>
        <item x="57"/>
        <item x="31"/>
        <item x="50"/>
        <item x="104"/>
        <item x="29"/>
        <item x="134"/>
        <item x="121"/>
        <item x="89"/>
        <item x="59"/>
        <item x="94"/>
        <item x="90"/>
        <item x="47"/>
        <item x="88"/>
        <item x="66"/>
        <item x="56"/>
        <item x="72"/>
        <item x="5"/>
        <item x="68"/>
        <item x="130"/>
        <item x="43"/>
        <item x="127"/>
        <item x="0"/>
        <item x="100"/>
        <item x="105"/>
        <item x="15"/>
        <item x="14"/>
        <item x="91"/>
        <item x="110"/>
        <item x="34"/>
        <item x="55"/>
        <item x="60"/>
        <item x="70"/>
        <item x="71"/>
        <item x="123"/>
        <item x="42"/>
        <item x="2"/>
        <item x="11"/>
        <item x="61"/>
        <item x="51"/>
        <item x="52"/>
        <item x="10"/>
        <item x="24"/>
        <item x="4"/>
        <item x="102"/>
        <item x="19"/>
        <item x="69"/>
        <item x="45"/>
        <item x="20"/>
        <item x="115"/>
        <item x="109"/>
        <item x="65"/>
        <item x="122"/>
        <item x="13"/>
        <item x="63"/>
        <item x="138"/>
        <item x="113"/>
        <item x="81"/>
        <item x="137"/>
        <item x="27"/>
        <item x="96"/>
        <item x="12"/>
        <item x="117"/>
        <item x="84"/>
        <item x="62"/>
        <item x="133"/>
        <item x="54"/>
        <item x="21"/>
        <item x="97"/>
        <item x="125"/>
        <item x="49"/>
        <item x="131"/>
        <item x="101"/>
        <item x="75"/>
        <item x="112"/>
        <item x="119"/>
        <item x="86"/>
        <item x="35"/>
        <item x="74"/>
        <item x="67"/>
        <item x="58"/>
        <item x="128"/>
        <item x="107"/>
        <item x="136"/>
        <item x="126"/>
        <item x="32"/>
        <item x="82"/>
        <item x="108"/>
        <item x="9"/>
        <item x="139"/>
        <item x="64"/>
        <item x="116"/>
        <item x="106"/>
        <item x="118"/>
        <item x="33"/>
        <item x="114"/>
        <item x="135"/>
        <item x="76"/>
        <item x="78"/>
        <item x="25"/>
        <item x="44"/>
        <item x="8"/>
        <item x="26"/>
        <item x="85"/>
        <item x="93"/>
        <item x="41"/>
        <item x="120"/>
        <item x="36"/>
        <item x="73"/>
        <item x="87"/>
        <item x="18"/>
        <item x="37"/>
        <item x="30"/>
        <item x="111"/>
        <item t="default"/>
      </items>
    </pivotField>
    <pivotField compact="0" numFmtId="181" showAll="0">
      <items count="117">
        <item x="40"/>
        <item x="49"/>
        <item x="71"/>
        <item x="3"/>
        <item x="7"/>
        <item x="16"/>
        <item x="48"/>
        <item x="86"/>
        <item x="42"/>
        <item x="96"/>
        <item x="73"/>
        <item x="30"/>
        <item x="6"/>
        <item x="75"/>
        <item x="20"/>
        <item x="24"/>
        <item x="36"/>
        <item x="53"/>
        <item x="1"/>
        <item x="25"/>
        <item x="82"/>
        <item x="41"/>
        <item x="80"/>
        <item x="18"/>
        <item x="90"/>
        <item x="50"/>
        <item x="31"/>
        <item x="67"/>
        <item x="111"/>
        <item x="57"/>
        <item x="63"/>
        <item x="45"/>
        <item x="17"/>
        <item x="81"/>
        <item x="56"/>
        <item x="92"/>
        <item x="0"/>
        <item x="14"/>
        <item x="65"/>
        <item x="5"/>
        <item x="35"/>
        <item x="15"/>
        <item x="113"/>
        <item x="66"/>
        <item x="55"/>
        <item x="44"/>
        <item x="2"/>
        <item x="109"/>
        <item x="58"/>
        <item x="51"/>
        <item x="110"/>
        <item x="26"/>
        <item x="4"/>
        <item x="107"/>
        <item x="21"/>
        <item x="64"/>
        <item x="22"/>
        <item x="99"/>
        <item x="83"/>
        <item x="47"/>
        <item x="106"/>
        <item x="104"/>
        <item x="91"/>
        <item x="103"/>
        <item x="11"/>
        <item x="105"/>
        <item x="52"/>
        <item x="10"/>
        <item x="62"/>
        <item x="13"/>
        <item x="60"/>
        <item x="59"/>
        <item x="54"/>
        <item x="89"/>
        <item x="101"/>
        <item x="37"/>
        <item x="94"/>
        <item x="29"/>
        <item x="88"/>
        <item x="12"/>
        <item x="97"/>
        <item x="78"/>
        <item x="69"/>
        <item x="108"/>
        <item x="74"/>
        <item x="114"/>
        <item x="23"/>
        <item x="33"/>
        <item x="87"/>
        <item x="9"/>
        <item x="115"/>
        <item x="61"/>
        <item x="76"/>
        <item x="93"/>
        <item x="34"/>
        <item x="98"/>
        <item x="112"/>
        <item x="100"/>
        <item x="27"/>
        <item x="70"/>
        <item x="72"/>
        <item x="46"/>
        <item x="8"/>
        <item x="28"/>
        <item x="77"/>
        <item x="85"/>
        <item x="43"/>
        <item x="79"/>
        <item x="102"/>
        <item x="38"/>
        <item x="68"/>
        <item x="39"/>
        <item x="84"/>
        <item x="32"/>
        <item x="19"/>
        <item x="95"/>
        <item t="default"/>
      </items>
    </pivotField>
    <pivotField dataField="1" compact="0" numFmtId="181" showAll="0">
      <items count="134">
        <item x="39"/>
        <item x="48"/>
        <item x="3"/>
        <item x="128"/>
        <item x="7"/>
        <item x="74"/>
        <item x="16"/>
        <item x="71"/>
        <item x="46"/>
        <item x="102"/>
        <item x="41"/>
        <item x="122"/>
        <item x="85"/>
        <item x="116"/>
        <item x="95"/>
        <item x="29"/>
        <item x="50"/>
        <item x="88"/>
        <item x="109"/>
        <item x="79"/>
        <item x="92"/>
        <item x="35"/>
        <item x="6"/>
        <item x="77"/>
        <item x="20"/>
        <item x="24"/>
        <item x="32"/>
        <item x="40"/>
        <item x="53"/>
        <item x="75"/>
        <item x="86"/>
        <item x="94"/>
        <item x="1"/>
        <item x="47"/>
        <item x="62"/>
        <item x="73"/>
        <item x="101"/>
        <item x="87"/>
        <item x="66"/>
        <item x="25"/>
        <item x="127"/>
        <item x="56"/>
        <item x="89"/>
        <item x="51"/>
        <item x="83"/>
        <item x="30"/>
        <item x="18"/>
        <item x="98"/>
        <item x="63"/>
        <item x="65"/>
        <item x="17"/>
        <item x="43"/>
        <item x="118"/>
        <item x="57"/>
        <item x="103"/>
        <item x="14"/>
        <item x="107"/>
        <item x="113"/>
        <item x="34"/>
        <item x="0"/>
        <item x="84"/>
        <item x="15"/>
        <item x="130"/>
        <item x="5"/>
        <item x="2"/>
        <item x="59"/>
        <item x="55"/>
        <item x="52"/>
        <item x="58"/>
        <item x="126"/>
        <item x="26"/>
        <item x="4"/>
        <item x="123"/>
        <item x="21"/>
        <item x="64"/>
        <item x="22"/>
        <item x="111"/>
        <item x="90"/>
        <item x="120"/>
        <item x="45"/>
        <item x="131"/>
        <item x="106"/>
        <item x="132"/>
        <item x="104"/>
        <item x="119"/>
        <item x="100"/>
        <item x="121"/>
        <item x="61"/>
        <item x="110"/>
        <item x="115"/>
        <item x="60"/>
        <item x="76"/>
        <item x="36"/>
        <item x="54"/>
        <item x="11"/>
        <item x="97"/>
        <item x="13"/>
        <item x="9"/>
        <item x="10"/>
        <item x="99"/>
        <item x="69"/>
        <item x="33"/>
        <item x="81"/>
        <item x="68"/>
        <item x="105"/>
        <item x="78"/>
        <item x="114"/>
        <item x="28"/>
        <item x="96"/>
        <item x="12"/>
        <item x="70"/>
        <item x="112"/>
        <item x="72"/>
        <item x="124"/>
        <item x="129"/>
        <item x="23"/>
        <item x="44"/>
        <item x="49"/>
        <item x="8"/>
        <item x="125"/>
        <item x="27"/>
        <item x="80"/>
        <item x="93"/>
        <item x="82"/>
        <item x="38"/>
        <item x="31"/>
        <item x="42"/>
        <item x="117"/>
        <item x="37"/>
        <item x="67"/>
        <item x="91"/>
        <item x="19"/>
        <item x="108"/>
        <item t="default"/>
      </items>
    </pivotField>
    <pivotField compact="0" showAll="0">
      <items count="4">
        <item x="0"/>
        <item x="1"/>
        <item x="2"/>
        <item t="default"/>
      </items>
    </pivotField>
  </pivotFields>
  <dataFields count="1">
    <dataField name="Sum of TOTAL PROFIT" fld="12" baseField="0" baseItem="0" numFmtId="178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KPI TOTAL REVENUE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7:B8" firstHeaderRow="1" firstDataRow="1" firstDataCol="0"/>
  <pivotFields count="14">
    <pivotField compact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compact="0" numFmtId="182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6">
        <item x="2"/>
        <item x="4"/>
        <item x="0"/>
        <item x="3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87">
        <item x="1"/>
        <item x="19"/>
        <item x="35"/>
        <item x="29"/>
        <item x="41"/>
        <item x="13"/>
        <item x="15"/>
        <item x="20"/>
        <item x="40"/>
        <item x="44"/>
        <item x="48"/>
        <item x="49"/>
        <item x="12"/>
        <item x="11"/>
        <item x="9"/>
        <item x="28"/>
        <item x="14"/>
        <item x="21"/>
        <item x="23"/>
        <item x="8"/>
        <item x="31"/>
        <item x="16"/>
        <item x="22"/>
        <item x="39"/>
        <item x="47"/>
        <item x="57"/>
        <item x="36"/>
        <item x="6"/>
        <item x="46"/>
        <item x="17"/>
        <item x="38"/>
        <item x="18"/>
        <item x="58"/>
        <item x="25"/>
        <item x="27"/>
        <item x="37"/>
        <item x="4"/>
        <item x="42"/>
        <item x="55"/>
        <item x="0"/>
        <item x="33"/>
        <item x="24"/>
        <item x="26"/>
        <item x="54"/>
        <item x="2"/>
        <item x="32"/>
        <item x="50"/>
        <item x="52"/>
        <item x="45"/>
        <item x="53"/>
        <item x="5"/>
        <item x="61"/>
        <item x="30"/>
        <item x="10"/>
        <item x="59"/>
        <item x="43"/>
        <item x="51"/>
        <item x="56"/>
        <item x="3"/>
        <item x="7"/>
        <item x="34"/>
        <item x="66"/>
        <item x="60"/>
        <item x="63"/>
        <item x="81"/>
        <item x="62"/>
        <item x="76"/>
        <item x="71"/>
        <item x="67"/>
        <item x="78"/>
        <item x="83"/>
        <item x="82"/>
        <item x="80"/>
        <item x="79"/>
        <item x="85"/>
        <item x="69"/>
        <item x="70"/>
        <item x="75"/>
        <item x="65"/>
        <item x="64"/>
        <item x="77"/>
        <item x="73"/>
        <item x="84"/>
        <item x="68"/>
        <item x="72"/>
        <item x="74"/>
        <item t="default"/>
      </items>
    </pivotField>
    <pivotField compact="0" showAll="0">
      <items count="87">
        <item x="68"/>
        <item x="35"/>
        <item x="78"/>
        <item x="2"/>
        <item x="50"/>
        <item x="24"/>
        <item x="54"/>
        <item x="32"/>
        <item x="26"/>
        <item x="19"/>
        <item x="1"/>
        <item x="15"/>
        <item x="20"/>
        <item x="13"/>
        <item x="76"/>
        <item x="31"/>
        <item x="21"/>
        <item x="23"/>
        <item x="8"/>
        <item x="14"/>
        <item x="67"/>
        <item x="71"/>
        <item x="3"/>
        <item x="45"/>
        <item x="29"/>
        <item x="75"/>
        <item x="65"/>
        <item x="64"/>
        <item x="10"/>
        <item x="59"/>
        <item x="43"/>
        <item x="51"/>
        <item x="5"/>
        <item x="52"/>
        <item x="16"/>
        <item x="47"/>
        <item x="57"/>
        <item x="22"/>
        <item x="39"/>
        <item x="27"/>
        <item x="25"/>
        <item x="36"/>
        <item x="6"/>
        <item x="46"/>
        <item x="17"/>
        <item x="55"/>
        <item x="72"/>
        <item x="40"/>
        <item x="49"/>
        <item x="12"/>
        <item x="11"/>
        <item x="9"/>
        <item x="44"/>
        <item x="28"/>
        <item x="48"/>
        <item x="7"/>
        <item x="74"/>
        <item x="41"/>
        <item x="18"/>
        <item x="30"/>
        <item x="61"/>
        <item x="0"/>
        <item x="33"/>
        <item x="53"/>
        <item x="58"/>
        <item x="62"/>
        <item x="34"/>
        <item x="69"/>
        <item x="70"/>
        <item x="66"/>
        <item x="60"/>
        <item x="38"/>
        <item x="56"/>
        <item x="85"/>
        <item x="73"/>
        <item x="84"/>
        <item x="80"/>
        <item x="81"/>
        <item x="63"/>
        <item x="77"/>
        <item x="79"/>
        <item x="82"/>
        <item x="83"/>
        <item x="4"/>
        <item x="42"/>
        <item x="37"/>
        <item t="default"/>
      </items>
    </pivotField>
    <pivotField compact="0" showAll="0">
      <items count="7">
        <item x="2"/>
        <item x="5"/>
        <item x="1"/>
        <item x="4"/>
        <item x="3"/>
        <item x="0"/>
        <item t="default"/>
      </items>
    </pivotField>
    <pivotField compact="0" numFmtId="181" showAll="0">
      <items count="27">
        <item x="23"/>
        <item x="3"/>
        <item x="5"/>
        <item x="1"/>
        <item x="22"/>
        <item x="16"/>
        <item x="4"/>
        <item x="11"/>
        <item x="0"/>
        <item x="8"/>
        <item x="2"/>
        <item x="10"/>
        <item x="20"/>
        <item x="9"/>
        <item x="13"/>
        <item x="21"/>
        <item x="19"/>
        <item x="25"/>
        <item x="7"/>
        <item x="17"/>
        <item x="18"/>
        <item x="14"/>
        <item x="6"/>
        <item x="12"/>
        <item x="15"/>
        <item x="24"/>
        <item t="default"/>
      </items>
    </pivotField>
    <pivotField compact="0" showAll="0">
      <items count="10">
        <item x="0"/>
        <item x="3"/>
        <item x="8"/>
        <item x="1"/>
        <item x="2"/>
        <item x="6"/>
        <item x="7"/>
        <item x="4"/>
        <item x="5"/>
        <item t="default"/>
      </items>
    </pivotField>
    <pivotField compact="0" numFmtId="181" showAll="0">
      <items count="25">
        <item x="3"/>
        <item x="5"/>
        <item x="1"/>
        <item x="19"/>
        <item x="11"/>
        <item x="4"/>
        <item x="0"/>
        <item x="17"/>
        <item x="23"/>
        <item x="2"/>
        <item x="13"/>
        <item x="8"/>
        <item x="10"/>
        <item x="9"/>
        <item x="7"/>
        <item x="21"/>
        <item x="22"/>
        <item x="16"/>
        <item x="14"/>
        <item x="18"/>
        <item x="6"/>
        <item x="12"/>
        <item x="15"/>
        <item x="20"/>
        <item t="default"/>
      </items>
    </pivotField>
    <pivotField compact="0" numFmtId="181" showAll="0">
      <items count="141">
        <item x="132"/>
        <item x="98"/>
        <item x="77"/>
        <item x="129"/>
        <item x="124"/>
        <item x="38"/>
        <item x="48"/>
        <item x="95"/>
        <item x="3"/>
        <item x="7"/>
        <item x="16"/>
        <item x="46"/>
        <item x="40"/>
        <item x="103"/>
        <item x="23"/>
        <item x="92"/>
        <item x="6"/>
        <item x="1"/>
        <item x="83"/>
        <item x="79"/>
        <item x="17"/>
        <item x="28"/>
        <item x="22"/>
        <item x="99"/>
        <item x="39"/>
        <item x="53"/>
        <item x="80"/>
        <item x="57"/>
        <item x="31"/>
        <item x="50"/>
        <item x="104"/>
        <item x="29"/>
        <item x="134"/>
        <item x="121"/>
        <item x="89"/>
        <item x="59"/>
        <item x="94"/>
        <item x="90"/>
        <item x="47"/>
        <item x="88"/>
        <item x="66"/>
        <item x="56"/>
        <item x="72"/>
        <item x="5"/>
        <item x="68"/>
        <item x="130"/>
        <item x="43"/>
        <item x="127"/>
        <item x="0"/>
        <item x="100"/>
        <item x="105"/>
        <item x="15"/>
        <item x="14"/>
        <item x="91"/>
        <item x="110"/>
        <item x="34"/>
        <item x="55"/>
        <item x="60"/>
        <item x="70"/>
        <item x="71"/>
        <item x="123"/>
        <item x="42"/>
        <item x="2"/>
        <item x="11"/>
        <item x="61"/>
        <item x="51"/>
        <item x="52"/>
        <item x="10"/>
        <item x="24"/>
        <item x="4"/>
        <item x="102"/>
        <item x="19"/>
        <item x="69"/>
        <item x="45"/>
        <item x="20"/>
        <item x="115"/>
        <item x="109"/>
        <item x="65"/>
        <item x="122"/>
        <item x="13"/>
        <item x="63"/>
        <item x="138"/>
        <item x="113"/>
        <item x="81"/>
        <item x="137"/>
        <item x="27"/>
        <item x="96"/>
        <item x="12"/>
        <item x="117"/>
        <item x="84"/>
        <item x="62"/>
        <item x="133"/>
        <item x="54"/>
        <item x="21"/>
        <item x="97"/>
        <item x="125"/>
        <item x="49"/>
        <item x="131"/>
        <item x="101"/>
        <item x="75"/>
        <item x="112"/>
        <item x="119"/>
        <item x="86"/>
        <item x="35"/>
        <item x="74"/>
        <item x="67"/>
        <item x="58"/>
        <item x="128"/>
        <item x="107"/>
        <item x="136"/>
        <item x="126"/>
        <item x="32"/>
        <item x="82"/>
        <item x="108"/>
        <item x="9"/>
        <item x="139"/>
        <item x="64"/>
        <item x="116"/>
        <item x="106"/>
        <item x="118"/>
        <item x="33"/>
        <item x="114"/>
        <item x="135"/>
        <item x="76"/>
        <item x="78"/>
        <item x="25"/>
        <item x="44"/>
        <item x="8"/>
        <item x="26"/>
        <item x="85"/>
        <item x="93"/>
        <item x="41"/>
        <item x="120"/>
        <item x="36"/>
        <item x="73"/>
        <item x="87"/>
        <item x="18"/>
        <item x="37"/>
        <item x="30"/>
        <item x="111"/>
        <item t="default"/>
      </items>
    </pivotField>
    <pivotField dataField="1" compact="0" numFmtId="181" showAll="0">
      <items count="117">
        <item x="40"/>
        <item x="49"/>
        <item x="71"/>
        <item x="3"/>
        <item x="7"/>
        <item x="16"/>
        <item x="48"/>
        <item x="86"/>
        <item x="42"/>
        <item x="96"/>
        <item x="73"/>
        <item x="30"/>
        <item x="6"/>
        <item x="75"/>
        <item x="20"/>
        <item x="24"/>
        <item x="36"/>
        <item x="53"/>
        <item x="1"/>
        <item x="25"/>
        <item x="82"/>
        <item x="41"/>
        <item x="80"/>
        <item x="18"/>
        <item x="90"/>
        <item x="50"/>
        <item x="31"/>
        <item x="67"/>
        <item x="111"/>
        <item x="57"/>
        <item x="63"/>
        <item x="45"/>
        <item x="17"/>
        <item x="81"/>
        <item x="56"/>
        <item x="92"/>
        <item x="0"/>
        <item x="14"/>
        <item x="65"/>
        <item x="5"/>
        <item x="35"/>
        <item x="15"/>
        <item x="113"/>
        <item x="66"/>
        <item x="55"/>
        <item x="44"/>
        <item x="2"/>
        <item x="109"/>
        <item x="58"/>
        <item x="51"/>
        <item x="110"/>
        <item x="26"/>
        <item x="4"/>
        <item x="107"/>
        <item x="21"/>
        <item x="64"/>
        <item x="22"/>
        <item x="99"/>
        <item x="83"/>
        <item x="47"/>
        <item x="106"/>
        <item x="104"/>
        <item x="91"/>
        <item x="103"/>
        <item x="11"/>
        <item x="105"/>
        <item x="52"/>
        <item x="10"/>
        <item x="62"/>
        <item x="13"/>
        <item x="60"/>
        <item x="59"/>
        <item x="54"/>
        <item x="89"/>
        <item x="101"/>
        <item x="37"/>
        <item x="94"/>
        <item x="29"/>
        <item x="88"/>
        <item x="12"/>
        <item x="97"/>
        <item x="78"/>
        <item x="69"/>
        <item x="108"/>
        <item x="74"/>
        <item x="114"/>
        <item x="23"/>
        <item x="33"/>
        <item x="87"/>
        <item x="9"/>
        <item x="115"/>
        <item x="61"/>
        <item x="76"/>
        <item x="93"/>
        <item x="34"/>
        <item x="98"/>
        <item x="112"/>
        <item x="100"/>
        <item x="27"/>
        <item x="70"/>
        <item x="72"/>
        <item x="46"/>
        <item x="8"/>
        <item x="28"/>
        <item x="77"/>
        <item x="85"/>
        <item x="43"/>
        <item x="79"/>
        <item x="102"/>
        <item x="38"/>
        <item x="68"/>
        <item x="39"/>
        <item x="84"/>
        <item x="32"/>
        <item x="19"/>
        <item x="95"/>
        <item t="default"/>
      </items>
    </pivotField>
    <pivotField compact="0" numFmtId="181" showAll="0">
      <items count="134">
        <item x="39"/>
        <item x="48"/>
        <item x="3"/>
        <item x="128"/>
        <item x="7"/>
        <item x="74"/>
        <item x="16"/>
        <item x="71"/>
        <item x="46"/>
        <item x="102"/>
        <item x="41"/>
        <item x="122"/>
        <item x="85"/>
        <item x="116"/>
        <item x="95"/>
        <item x="29"/>
        <item x="50"/>
        <item x="88"/>
        <item x="109"/>
        <item x="79"/>
        <item x="92"/>
        <item x="35"/>
        <item x="6"/>
        <item x="77"/>
        <item x="20"/>
        <item x="24"/>
        <item x="32"/>
        <item x="40"/>
        <item x="53"/>
        <item x="75"/>
        <item x="86"/>
        <item x="94"/>
        <item x="1"/>
        <item x="47"/>
        <item x="62"/>
        <item x="73"/>
        <item x="101"/>
        <item x="87"/>
        <item x="66"/>
        <item x="25"/>
        <item x="127"/>
        <item x="56"/>
        <item x="89"/>
        <item x="51"/>
        <item x="83"/>
        <item x="30"/>
        <item x="18"/>
        <item x="98"/>
        <item x="63"/>
        <item x="65"/>
        <item x="17"/>
        <item x="43"/>
        <item x="118"/>
        <item x="57"/>
        <item x="103"/>
        <item x="14"/>
        <item x="107"/>
        <item x="113"/>
        <item x="34"/>
        <item x="0"/>
        <item x="84"/>
        <item x="15"/>
        <item x="130"/>
        <item x="5"/>
        <item x="2"/>
        <item x="59"/>
        <item x="55"/>
        <item x="52"/>
        <item x="58"/>
        <item x="126"/>
        <item x="26"/>
        <item x="4"/>
        <item x="123"/>
        <item x="21"/>
        <item x="64"/>
        <item x="22"/>
        <item x="111"/>
        <item x="90"/>
        <item x="120"/>
        <item x="45"/>
        <item x="131"/>
        <item x="106"/>
        <item x="132"/>
        <item x="104"/>
        <item x="119"/>
        <item x="100"/>
        <item x="121"/>
        <item x="61"/>
        <item x="110"/>
        <item x="115"/>
        <item x="60"/>
        <item x="76"/>
        <item x="36"/>
        <item x="54"/>
        <item x="11"/>
        <item x="97"/>
        <item x="13"/>
        <item x="9"/>
        <item x="10"/>
        <item x="99"/>
        <item x="69"/>
        <item x="33"/>
        <item x="81"/>
        <item x="68"/>
        <item x="105"/>
        <item x="78"/>
        <item x="114"/>
        <item x="28"/>
        <item x="96"/>
        <item x="12"/>
        <item x="70"/>
        <item x="112"/>
        <item x="72"/>
        <item x="124"/>
        <item x="129"/>
        <item x="23"/>
        <item x="44"/>
        <item x="49"/>
        <item x="8"/>
        <item x="125"/>
        <item x="27"/>
        <item x="80"/>
        <item x="93"/>
        <item x="82"/>
        <item x="38"/>
        <item x="31"/>
        <item x="42"/>
        <item x="117"/>
        <item x="37"/>
        <item x="67"/>
        <item x="91"/>
        <item x="19"/>
        <item x="108"/>
        <item t="default"/>
      </items>
    </pivotField>
    <pivotField compact="0" showAll="0">
      <items count="4">
        <item x="0"/>
        <item x="1"/>
        <item x="2"/>
        <item t="default"/>
      </items>
    </pivotField>
  </pivotFields>
  <dataFields count="1">
    <dataField name="Sum of REVENUE" fld="11" baseField="0" baseItem="0" numFmtId="178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KPI QUANTITY SUM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13:C14" firstHeaderRow="1" firstDataRow="1" firstDataCol="0"/>
  <pivotFields count="14">
    <pivotField compact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compact="0" numFmtId="182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6">
        <item x="2"/>
        <item x="4"/>
        <item x="0"/>
        <item x="3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87">
        <item x="1"/>
        <item x="19"/>
        <item x="35"/>
        <item x="29"/>
        <item x="41"/>
        <item x="13"/>
        <item x="15"/>
        <item x="20"/>
        <item x="40"/>
        <item x="44"/>
        <item x="48"/>
        <item x="49"/>
        <item x="12"/>
        <item x="11"/>
        <item x="9"/>
        <item x="28"/>
        <item x="14"/>
        <item x="21"/>
        <item x="23"/>
        <item x="8"/>
        <item x="31"/>
        <item x="16"/>
        <item x="22"/>
        <item x="39"/>
        <item x="47"/>
        <item x="57"/>
        <item x="36"/>
        <item x="6"/>
        <item x="46"/>
        <item x="17"/>
        <item x="38"/>
        <item x="18"/>
        <item x="58"/>
        <item x="25"/>
        <item x="27"/>
        <item x="37"/>
        <item x="4"/>
        <item x="42"/>
        <item x="55"/>
        <item x="0"/>
        <item x="33"/>
        <item x="24"/>
        <item x="26"/>
        <item x="54"/>
        <item x="2"/>
        <item x="32"/>
        <item x="50"/>
        <item x="52"/>
        <item x="45"/>
        <item x="53"/>
        <item x="5"/>
        <item x="61"/>
        <item x="30"/>
        <item x="10"/>
        <item x="59"/>
        <item x="43"/>
        <item x="51"/>
        <item x="56"/>
        <item x="3"/>
        <item x="7"/>
        <item x="34"/>
        <item x="66"/>
        <item x="60"/>
        <item x="63"/>
        <item x="81"/>
        <item x="62"/>
        <item x="76"/>
        <item x="71"/>
        <item x="67"/>
        <item x="78"/>
        <item x="83"/>
        <item x="82"/>
        <item x="80"/>
        <item x="79"/>
        <item x="85"/>
        <item x="69"/>
        <item x="70"/>
        <item x="75"/>
        <item x="65"/>
        <item x="64"/>
        <item x="77"/>
        <item x="73"/>
        <item x="84"/>
        <item x="68"/>
        <item x="72"/>
        <item x="74"/>
        <item t="default"/>
      </items>
    </pivotField>
    <pivotField compact="0" showAll="0">
      <items count="87">
        <item x="68"/>
        <item x="35"/>
        <item x="78"/>
        <item x="2"/>
        <item x="50"/>
        <item x="24"/>
        <item x="54"/>
        <item x="32"/>
        <item x="26"/>
        <item x="19"/>
        <item x="1"/>
        <item x="15"/>
        <item x="20"/>
        <item x="13"/>
        <item x="76"/>
        <item x="31"/>
        <item x="21"/>
        <item x="23"/>
        <item x="8"/>
        <item x="14"/>
        <item x="67"/>
        <item x="71"/>
        <item x="3"/>
        <item x="45"/>
        <item x="29"/>
        <item x="75"/>
        <item x="65"/>
        <item x="64"/>
        <item x="10"/>
        <item x="59"/>
        <item x="43"/>
        <item x="51"/>
        <item x="5"/>
        <item x="52"/>
        <item x="16"/>
        <item x="47"/>
        <item x="57"/>
        <item x="22"/>
        <item x="39"/>
        <item x="27"/>
        <item x="25"/>
        <item x="36"/>
        <item x="6"/>
        <item x="46"/>
        <item x="17"/>
        <item x="55"/>
        <item x="72"/>
        <item x="40"/>
        <item x="49"/>
        <item x="12"/>
        <item x="11"/>
        <item x="9"/>
        <item x="44"/>
        <item x="28"/>
        <item x="48"/>
        <item x="7"/>
        <item x="74"/>
        <item x="41"/>
        <item x="18"/>
        <item x="30"/>
        <item x="61"/>
        <item x="0"/>
        <item x="33"/>
        <item x="53"/>
        <item x="58"/>
        <item x="62"/>
        <item x="34"/>
        <item x="69"/>
        <item x="70"/>
        <item x="66"/>
        <item x="60"/>
        <item x="38"/>
        <item x="56"/>
        <item x="85"/>
        <item x="73"/>
        <item x="84"/>
        <item x="80"/>
        <item x="81"/>
        <item x="63"/>
        <item x="77"/>
        <item x="79"/>
        <item x="82"/>
        <item x="83"/>
        <item x="4"/>
        <item x="42"/>
        <item x="37"/>
        <item t="default"/>
      </items>
    </pivotField>
    <pivotField compact="0" showAll="0">
      <items count="7">
        <item x="2"/>
        <item x="5"/>
        <item x="1"/>
        <item x="4"/>
        <item x="3"/>
        <item x="0"/>
        <item t="default"/>
      </items>
    </pivotField>
    <pivotField compact="0" numFmtId="181" showAll="0">
      <items count="27">
        <item x="23"/>
        <item x="3"/>
        <item x="5"/>
        <item x="1"/>
        <item x="22"/>
        <item x="16"/>
        <item x="4"/>
        <item x="11"/>
        <item x="0"/>
        <item x="8"/>
        <item x="2"/>
        <item x="10"/>
        <item x="20"/>
        <item x="9"/>
        <item x="13"/>
        <item x="21"/>
        <item x="19"/>
        <item x="25"/>
        <item x="7"/>
        <item x="17"/>
        <item x="18"/>
        <item x="14"/>
        <item x="6"/>
        <item x="12"/>
        <item x="15"/>
        <item x="24"/>
        <item t="default"/>
      </items>
    </pivotField>
    <pivotField dataField="1" compact="0" showAll="0">
      <items count="10">
        <item x="0"/>
        <item x="3"/>
        <item x="8"/>
        <item x="1"/>
        <item x="2"/>
        <item x="6"/>
        <item x="7"/>
        <item x="4"/>
        <item x="5"/>
        <item t="default"/>
      </items>
    </pivotField>
    <pivotField compact="0" numFmtId="181" showAll="0">
      <items count="25">
        <item x="3"/>
        <item x="5"/>
        <item x="1"/>
        <item x="19"/>
        <item x="11"/>
        <item x="4"/>
        <item x="0"/>
        <item x="17"/>
        <item x="23"/>
        <item x="2"/>
        <item x="13"/>
        <item x="8"/>
        <item x="10"/>
        <item x="9"/>
        <item x="7"/>
        <item x="21"/>
        <item x="22"/>
        <item x="16"/>
        <item x="14"/>
        <item x="18"/>
        <item x="6"/>
        <item x="12"/>
        <item x="15"/>
        <item x="20"/>
        <item t="default"/>
      </items>
    </pivotField>
    <pivotField compact="0" numFmtId="181" showAll="0">
      <items count="141">
        <item x="132"/>
        <item x="98"/>
        <item x="77"/>
        <item x="129"/>
        <item x="124"/>
        <item x="38"/>
        <item x="48"/>
        <item x="95"/>
        <item x="3"/>
        <item x="7"/>
        <item x="16"/>
        <item x="46"/>
        <item x="40"/>
        <item x="103"/>
        <item x="23"/>
        <item x="92"/>
        <item x="6"/>
        <item x="1"/>
        <item x="83"/>
        <item x="79"/>
        <item x="17"/>
        <item x="28"/>
        <item x="22"/>
        <item x="99"/>
        <item x="39"/>
        <item x="53"/>
        <item x="80"/>
        <item x="57"/>
        <item x="31"/>
        <item x="50"/>
        <item x="104"/>
        <item x="29"/>
        <item x="134"/>
        <item x="121"/>
        <item x="89"/>
        <item x="59"/>
        <item x="94"/>
        <item x="90"/>
        <item x="47"/>
        <item x="88"/>
        <item x="66"/>
        <item x="56"/>
        <item x="72"/>
        <item x="5"/>
        <item x="68"/>
        <item x="130"/>
        <item x="43"/>
        <item x="127"/>
        <item x="0"/>
        <item x="100"/>
        <item x="105"/>
        <item x="15"/>
        <item x="14"/>
        <item x="91"/>
        <item x="110"/>
        <item x="34"/>
        <item x="55"/>
        <item x="60"/>
        <item x="70"/>
        <item x="71"/>
        <item x="123"/>
        <item x="42"/>
        <item x="2"/>
        <item x="11"/>
        <item x="61"/>
        <item x="51"/>
        <item x="52"/>
        <item x="10"/>
        <item x="24"/>
        <item x="4"/>
        <item x="102"/>
        <item x="19"/>
        <item x="69"/>
        <item x="45"/>
        <item x="20"/>
        <item x="115"/>
        <item x="109"/>
        <item x="65"/>
        <item x="122"/>
        <item x="13"/>
        <item x="63"/>
        <item x="138"/>
        <item x="113"/>
        <item x="81"/>
        <item x="137"/>
        <item x="27"/>
        <item x="96"/>
        <item x="12"/>
        <item x="117"/>
        <item x="84"/>
        <item x="62"/>
        <item x="133"/>
        <item x="54"/>
        <item x="21"/>
        <item x="97"/>
        <item x="125"/>
        <item x="49"/>
        <item x="131"/>
        <item x="101"/>
        <item x="75"/>
        <item x="112"/>
        <item x="119"/>
        <item x="86"/>
        <item x="35"/>
        <item x="74"/>
        <item x="67"/>
        <item x="58"/>
        <item x="128"/>
        <item x="107"/>
        <item x="136"/>
        <item x="126"/>
        <item x="32"/>
        <item x="82"/>
        <item x="108"/>
        <item x="9"/>
        <item x="139"/>
        <item x="64"/>
        <item x="116"/>
        <item x="106"/>
        <item x="118"/>
        <item x="33"/>
        <item x="114"/>
        <item x="135"/>
        <item x="76"/>
        <item x="78"/>
        <item x="25"/>
        <item x="44"/>
        <item x="8"/>
        <item x="26"/>
        <item x="85"/>
        <item x="93"/>
        <item x="41"/>
        <item x="120"/>
        <item x="36"/>
        <item x="73"/>
        <item x="87"/>
        <item x="18"/>
        <item x="37"/>
        <item x="30"/>
        <item x="111"/>
        <item t="default"/>
      </items>
    </pivotField>
    <pivotField compact="0" numFmtId="181" showAll="0">
      <items count="117">
        <item x="40"/>
        <item x="49"/>
        <item x="71"/>
        <item x="3"/>
        <item x="7"/>
        <item x="16"/>
        <item x="48"/>
        <item x="86"/>
        <item x="42"/>
        <item x="96"/>
        <item x="73"/>
        <item x="30"/>
        <item x="6"/>
        <item x="75"/>
        <item x="20"/>
        <item x="24"/>
        <item x="36"/>
        <item x="53"/>
        <item x="1"/>
        <item x="25"/>
        <item x="82"/>
        <item x="41"/>
        <item x="80"/>
        <item x="18"/>
        <item x="90"/>
        <item x="50"/>
        <item x="31"/>
        <item x="67"/>
        <item x="111"/>
        <item x="57"/>
        <item x="63"/>
        <item x="45"/>
        <item x="17"/>
        <item x="81"/>
        <item x="56"/>
        <item x="92"/>
        <item x="0"/>
        <item x="14"/>
        <item x="65"/>
        <item x="5"/>
        <item x="35"/>
        <item x="15"/>
        <item x="113"/>
        <item x="66"/>
        <item x="55"/>
        <item x="44"/>
        <item x="2"/>
        <item x="109"/>
        <item x="58"/>
        <item x="51"/>
        <item x="110"/>
        <item x="26"/>
        <item x="4"/>
        <item x="107"/>
        <item x="21"/>
        <item x="64"/>
        <item x="22"/>
        <item x="99"/>
        <item x="83"/>
        <item x="47"/>
        <item x="106"/>
        <item x="104"/>
        <item x="91"/>
        <item x="103"/>
        <item x="11"/>
        <item x="105"/>
        <item x="52"/>
        <item x="10"/>
        <item x="62"/>
        <item x="13"/>
        <item x="60"/>
        <item x="59"/>
        <item x="54"/>
        <item x="89"/>
        <item x="101"/>
        <item x="37"/>
        <item x="94"/>
        <item x="29"/>
        <item x="88"/>
        <item x="12"/>
        <item x="97"/>
        <item x="78"/>
        <item x="69"/>
        <item x="108"/>
        <item x="74"/>
        <item x="114"/>
        <item x="23"/>
        <item x="33"/>
        <item x="87"/>
        <item x="9"/>
        <item x="115"/>
        <item x="61"/>
        <item x="76"/>
        <item x="93"/>
        <item x="34"/>
        <item x="98"/>
        <item x="112"/>
        <item x="100"/>
        <item x="27"/>
        <item x="70"/>
        <item x="72"/>
        <item x="46"/>
        <item x="8"/>
        <item x="28"/>
        <item x="77"/>
        <item x="85"/>
        <item x="43"/>
        <item x="79"/>
        <item x="102"/>
        <item x="38"/>
        <item x="68"/>
        <item x="39"/>
        <item x="84"/>
        <item x="32"/>
        <item x="19"/>
        <item x="95"/>
        <item t="default"/>
      </items>
    </pivotField>
    <pivotField compact="0" numFmtId="181" showAll="0">
      <items count="134">
        <item x="39"/>
        <item x="48"/>
        <item x="3"/>
        <item x="128"/>
        <item x="7"/>
        <item x="74"/>
        <item x="16"/>
        <item x="71"/>
        <item x="46"/>
        <item x="102"/>
        <item x="41"/>
        <item x="122"/>
        <item x="85"/>
        <item x="116"/>
        <item x="95"/>
        <item x="29"/>
        <item x="50"/>
        <item x="88"/>
        <item x="109"/>
        <item x="79"/>
        <item x="92"/>
        <item x="35"/>
        <item x="6"/>
        <item x="77"/>
        <item x="20"/>
        <item x="24"/>
        <item x="32"/>
        <item x="40"/>
        <item x="53"/>
        <item x="75"/>
        <item x="86"/>
        <item x="94"/>
        <item x="1"/>
        <item x="47"/>
        <item x="62"/>
        <item x="73"/>
        <item x="101"/>
        <item x="87"/>
        <item x="66"/>
        <item x="25"/>
        <item x="127"/>
        <item x="56"/>
        <item x="89"/>
        <item x="51"/>
        <item x="83"/>
        <item x="30"/>
        <item x="18"/>
        <item x="98"/>
        <item x="63"/>
        <item x="65"/>
        <item x="17"/>
        <item x="43"/>
        <item x="118"/>
        <item x="57"/>
        <item x="103"/>
        <item x="14"/>
        <item x="107"/>
        <item x="113"/>
        <item x="34"/>
        <item x="0"/>
        <item x="84"/>
        <item x="15"/>
        <item x="130"/>
        <item x="5"/>
        <item x="2"/>
        <item x="59"/>
        <item x="55"/>
        <item x="52"/>
        <item x="58"/>
        <item x="126"/>
        <item x="26"/>
        <item x="4"/>
        <item x="123"/>
        <item x="21"/>
        <item x="64"/>
        <item x="22"/>
        <item x="111"/>
        <item x="90"/>
        <item x="120"/>
        <item x="45"/>
        <item x="131"/>
        <item x="106"/>
        <item x="132"/>
        <item x="104"/>
        <item x="119"/>
        <item x="100"/>
        <item x="121"/>
        <item x="61"/>
        <item x="110"/>
        <item x="115"/>
        <item x="60"/>
        <item x="76"/>
        <item x="36"/>
        <item x="54"/>
        <item x="11"/>
        <item x="97"/>
        <item x="13"/>
        <item x="9"/>
        <item x="10"/>
        <item x="99"/>
        <item x="69"/>
        <item x="33"/>
        <item x="81"/>
        <item x="68"/>
        <item x="105"/>
        <item x="78"/>
        <item x="114"/>
        <item x="28"/>
        <item x="96"/>
        <item x="12"/>
        <item x="70"/>
        <item x="112"/>
        <item x="72"/>
        <item x="124"/>
        <item x="129"/>
        <item x="23"/>
        <item x="44"/>
        <item x="49"/>
        <item x="8"/>
        <item x="125"/>
        <item x="27"/>
        <item x="80"/>
        <item x="93"/>
        <item x="82"/>
        <item x="38"/>
        <item x="31"/>
        <item x="42"/>
        <item x="117"/>
        <item x="37"/>
        <item x="67"/>
        <item x="91"/>
        <item x="19"/>
        <item x="108"/>
        <item t="default"/>
      </items>
    </pivotField>
    <pivotField compact="0" showAll="0">
      <items count="4">
        <item x="0"/>
        <item x="1"/>
        <item x="2"/>
        <item t="default"/>
      </items>
    </pivotField>
  </pivotFields>
  <dataFields count="1">
    <dataField name="Sum of QUANTITY SOLD" fld="8" baseField="0" baseItem="0" numFmtId="37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KPI AVERAGE ORDER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D2:D3" firstHeaderRow="1" firstDataRow="1" firstDataCol="0"/>
  <pivotFields count="14">
    <pivotField compact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compact="0" numFmtId="182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6">
        <item x="2"/>
        <item x="4"/>
        <item x="0"/>
        <item x="3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87">
        <item x="1"/>
        <item x="19"/>
        <item x="35"/>
        <item x="29"/>
        <item x="41"/>
        <item x="13"/>
        <item x="15"/>
        <item x="20"/>
        <item x="40"/>
        <item x="44"/>
        <item x="48"/>
        <item x="49"/>
        <item x="12"/>
        <item x="11"/>
        <item x="9"/>
        <item x="28"/>
        <item x="14"/>
        <item x="21"/>
        <item x="23"/>
        <item x="8"/>
        <item x="31"/>
        <item x="16"/>
        <item x="22"/>
        <item x="39"/>
        <item x="47"/>
        <item x="57"/>
        <item x="36"/>
        <item x="6"/>
        <item x="46"/>
        <item x="17"/>
        <item x="38"/>
        <item x="18"/>
        <item x="58"/>
        <item x="25"/>
        <item x="27"/>
        <item x="37"/>
        <item x="4"/>
        <item x="42"/>
        <item x="55"/>
        <item x="0"/>
        <item x="33"/>
        <item x="24"/>
        <item x="26"/>
        <item x="54"/>
        <item x="2"/>
        <item x="32"/>
        <item x="50"/>
        <item x="52"/>
        <item x="45"/>
        <item x="53"/>
        <item x="5"/>
        <item x="61"/>
        <item x="30"/>
        <item x="10"/>
        <item x="59"/>
        <item x="43"/>
        <item x="51"/>
        <item x="56"/>
        <item x="3"/>
        <item x="7"/>
        <item x="34"/>
        <item x="66"/>
        <item x="60"/>
        <item x="63"/>
        <item x="81"/>
        <item x="62"/>
        <item x="76"/>
        <item x="71"/>
        <item x="67"/>
        <item x="78"/>
        <item x="83"/>
        <item x="82"/>
        <item x="80"/>
        <item x="79"/>
        <item x="85"/>
        <item x="69"/>
        <item x="70"/>
        <item x="75"/>
        <item x="65"/>
        <item x="64"/>
        <item x="77"/>
        <item x="73"/>
        <item x="84"/>
        <item x="68"/>
        <item x="72"/>
        <item x="74"/>
        <item t="default"/>
      </items>
    </pivotField>
    <pivotField compact="0" showAll="0">
      <items count="87">
        <item x="68"/>
        <item x="35"/>
        <item x="78"/>
        <item x="2"/>
        <item x="50"/>
        <item x="24"/>
        <item x="54"/>
        <item x="32"/>
        <item x="26"/>
        <item x="19"/>
        <item x="1"/>
        <item x="15"/>
        <item x="20"/>
        <item x="13"/>
        <item x="76"/>
        <item x="31"/>
        <item x="21"/>
        <item x="23"/>
        <item x="8"/>
        <item x="14"/>
        <item x="67"/>
        <item x="71"/>
        <item x="3"/>
        <item x="45"/>
        <item x="29"/>
        <item x="75"/>
        <item x="65"/>
        <item x="64"/>
        <item x="10"/>
        <item x="59"/>
        <item x="43"/>
        <item x="51"/>
        <item x="5"/>
        <item x="52"/>
        <item x="16"/>
        <item x="47"/>
        <item x="57"/>
        <item x="22"/>
        <item x="39"/>
        <item x="27"/>
        <item x="25"/>
        <item x="36"/>
        <item x="6"/>
        <item x="46"/>
        <item x="17"/>
        <item x="55"/>
        <item x="72"/>
        <item x="40"/>
        <item x="49"/>
        <item x="12"/>
        <item x="11"/>
        <item x="9"/>
        <item x="44"/>
        <item x="28"/>
        <item x="48"/>
        <item x="7"/>
        <item x="74"/>
        <item x="41"/>
        <item x="18"/>
        <item x="30"/>
        <item x="61"/>
        <item x="0"/>
        <item x="33"/>
        <item x="53"/>
        <item x="58"/>
        <item x="62"/>
        <item x="34"/>
        <item x="69"/>
        <item x="70"/>
        <item x="66"/>
        <item x="60"/>
        <item x="38"/>
        <item x="56"/>
        <item x="85"/>
        <item x="73"/>
        <item x="84"/>
        <item x="80"/>
        <item x="81"/>
        <item x="63"/>
        <item x="77"/>
        <item x="79"/>
        <item x="82"/>
        <item x="83"/>
        <item x="4"/>
        <item x="42"/>
        <item x="37"/>
        <item t="default"/>
      </items>
    </pivotField>
    <pivotField compact="0" showAll="0">
      <items count="7">
        <item x="2"/>
        <item x="5"/>
        <item x="1"/>
        <item x="4"/>
        <item x="3"/>
        <item x="0"/>
        <item t="default"/>
      </items>
    </pivotField>
    <pivotField compact="0" numFmtId="181" showAll="0">
      <items count="27">
        <item x="23"/>
        <item x="3"/>
        <item x="5"/>
        <item x="1"/>
        <item x="22"/>
        <item x="16"/>
        <item x="4"/>
        <item x="11"/>
        <item x="0"/>
        <item x="8"/>
        <item x="2"/>
        <item x="10"/>
        <item x="20"/>
        <item x="9"/>
        <item x="13"/>
        <item x="21"/>
        <item x="19"/>
        <item x="25"/>
        <item x="7"/>
        <item x="17"/>
        <item x="18"/>
        <item x="14"/>
        <item x="6"/>
        <item x="12"/>
        <item x="15"/>
        <item x="24"/>
        <item t="default"/>
      </items>
    </pivotField>
    <pivotField compact="0" showAll="0">
      <items count="10">
        <item x="0"/>
        <item x="3"/>
        <item x="8"/>
        <item x="1"/>
        <item x="2"/>
        <item x="6"/>
        <item x="7"/>
        <item x="4"/>
        <item x="5"/>
        <item t="default"/>
      </items>
    </pivotField>
    <pivotField compact="0" numFmtId="181" showAll="0">
      <items count="25">
        <item x="3"/>
        <item x="5"/>
        <item x="1"/>
        <item x="19"/>
        <item x="11"/>
        <item x="4"/>
        <item x="0"/>
        <item x="17"/>
        <item x="23"/>
        <item x="2"/>
        <item x="13"/>
        <item x="8"/>
        <item x="10"/>
        <item x="9"/>
        <item x="7"/>
        <item x="21"/>
        <item x="22"/>
        <item x="16"/>
        <item x="14"/>
        <item x="18"/>
        <item x="6"/>
        <item x="12"/>
        <item x="15"/>
        <item x="20"/>
        <item t="default"/>
      </items>
    </pivotField>
    <pivotField compact="0" numFmtId="181" showAll="0">
      <items count="141">
        <item x="132"/>
        <item x="98"/>
        <item x="77"/>
        <item x="129"/>
        <item x="124"/>
        <item x="38"/>
        <item x="48"/>
        <item x="95"/>
        <item x="3"/>
        <item x="7"/>
        <item x="16"/>
        <item x="46"/>
        <item x="40"/>
        <item x="103"/>
        <item x="23"/>
        <item x="92"/>
        <item x="6"/>
        <item x="1"/>
        <item x="83"/>
        <item x="79"/>
        <item x="17"/>
        <item x="28"/>
        <item x="22"/>
        <item x="99"/>
        <item x="39"/>
        <item x="53"/>
        <item x="80"/>
        <item x="57"/>
        <item x="31"/>
        <item x="50"/>
        <item x="104"/>
        <item x="29"/>
        <item x="134"/>
        <item x="121"/>
        <item x="89"/>
        <item x="59"/>
        <item x="94"/>
        <item x="90"/>
        <item x="47"/>
        <item x="88"/>
        <item x="66"/>
        <item x="56"/>
        <item x="72"/>
        <item x="5"/>
        <item x="68"/>
        <item x="130"/>
        <item x="43"/>
        <item x="127"/>
        <item x="0"/>
        <item x="100"/>
        <item x="105"/>
        <item x="15"/>
        <item x="14"/>
        <item x="91"/>
        <item x="110"/>
        <item x="34"/>
        <item x="55"/>
        <item x="60"/>
        <item x="70"/>
        <item x="71"/>
        <item x="123"/>
        <item x="42"/>
        <item x="2"/>
        <item x="11"/>
        <item x="61"/>
        <item x="51"/>
        <item x="52"/>
        <item x="10"/>
        <item x="24"/>
        <item x="4"/>
        <item x="102"/>
        <item x="19"/>
        <item x="69"/>
        <item x="45"/>
        <item x="20"/>
        <item x="115"/>
        <item x="109"/>
        <item x="65"/>
        <item x="122"/>
        <item x="13"/>
        <item x="63"/>
        <item x="138"/>
        <item x="113"/>
        <item x="81"/>
        <item x="137"/>
        <item x="27"/>
        <item x="96"/>
        <item x="12"/>
        <item x="117"/>
        <item x="84"/>
        <item x="62"/>
        <item x="133"/>
        <item x="54"/>
        <item x="21"/>
        <item x="97"/>
        <item x="125"/>
        <item x="49"/>
        <item x="131"/>
        <item x="101"/>
        <item x="75"/>
        <item x="112"/>
        <item x="119"/>
        <item x="86"/>
        <item x="35"/>
        <item x="74"/>
        <item x="67"/>
        <item x="58"/>
        <item x="128"/>
        <item x="107"/>
        <item x="136"/>
        <item x="126"/>
        <item x="32"/>
        <item x="82"/>
        <item x="108"/>
        <item x="9"/>
        <item x="139"/>
        <item x="64"/>
        <item x="116"/>
        <item x="106"/>
        <item x="118"/>
        <item x="33"/>
        <item x="114"/>
        <item x="135"/>
        <item x="76"/>
        <item x="78"/>
        <item x="25"/>
        <item x="44"/>
        <item x="8"/>
        <item x="26"/>
        <item x="85"/>
        <item x="93"/>
        <item x="41"/>
        <item x="120"/>
        <item x="36"/>
        <item x="73"/>
        <item x="87"/>
        <item x="18"/>
        <item x="37"/>
        <item x="30"/>
        <item x="111"/>
        <item t="default"/>
      </items>
    </pivotField>
    <pivotField dataField="1" compact="0" numFmtId="181" showAll="0">
      <items count="117">
        <item x="40"/>
        <item x="49"/>
        <item x="71"/>
        <item x="3"/>
        <item x="7"/>
        <item x="16"/>
        <item x="48"/>
        <item x="86"/>
        <item x="42"/>
        <item x="96"/>
        <item x="73"/>
        <item x="30"/>
        <item x="6"/>
        <item x="75"/>
        <item x="20"/>
        <item x="24"/>
        <item x="36"/>
        <item x="53"/>
        <item x="1"/>
        <item x="25"/>
        <item x="82"/>
        <item x="41"/>
        <item x="80"/>
        <item x="18"/>
        <item x="90"/>
        <item x="50"/>
        <item x="31"/>
        <item x="67"/>
        <item x="111"/>
        <item x="57"/>
        <item x="63"/>
        <item x="45"/>
        <item x="17"/>
        <item x="81"/>
        <item x="56"/>
        <item x="92"/>
        <item x="0"/>
        <item x="14"/>
        <item x="65"/>
        <item x="5"/>
        <item x="35"/>
        <item x="15"/>
        <item x="113"/>
        <item x="66"/>
        <item x="55"/>
        <item x="44"/>
        <item x="2"/>
        <item x="109"/>
        <item x="58"/>
        <item x="51"/>
        <item x="110"/>
        <item x="26"/>
        <item x="4"/>
        <item x="107"/>
        <item x="21"/>
        <item x="64"/>
        <item x="22"/>
        <item x="99"/>
        <item x="83"/>
        <item x="47"/>
        <item x="106"/>
        <item x="104"/>
        <item x="91"/>
        <item x="103"/>
        <item x="11"/>
        <item x="105"/>
        <item x="52"/>
        <item x="10"/>
        <item x="62"/>
        <item x="13"/>
        <item x="60"/>
        <item x="59"/>
        <item x="54"/>
        <item x="89"/>
        <item x="101"/>
        <item x="37"/>
        <item x="94"/>
        <item x="29"/>
        <item x="88"/>
        <item x="12"/>
        <item x="97"/>
        <item x="78"/>
        <item x="69"/>
        <item x="108"/>
        <item x="74"/>
        <item x="114"/>
        <item x="23"/>
        <item x="33"/>
        <item x="87"/>
        <item x="9"/>
        <item x="115"/>
        <item x="61"/>
        <item x="76"/>
        <item x="93"/>
        <item x="34"/>
        <item x="98"/>
        <item x="112"/>
        <item x="100"/>
        <item x="27"/>
        <item x="70"/>
        <item x="72"/>
        <item x="46"/>
        <item x="8"/>
        <item x="28"/>
        <item x="77"/>
        <item x="85"/>
        <item x="43"/>
        <item x="79"/>
        <item x="102"/>
        <item x="38"/>
        <item x="68"/>
        <item x="39"/>
        <item x="84"/>
        <item x="32"/>
        <item x="19"/>
        <item x="95"/>
        <item t="default"/>
      </items>
    </pivotField>
    <pivotField compact="0" numFmtId="181" showAll="0">
      <items count="134">
        <item x="39"/>
        <item x="48"/>
        <item x="3"/>
        <item x="128"/>
        <item x="7"/>
        <item x="74"/>
        <item x="16"/>
        <item x="71"/>
        <item x="46"/>
        <item x="102"/>
        <item x="41"/>
        <item x="122"/>
        <item x="85"/>
        <item x="116"/>
        <item x="95"/>
        <item x="29"/>
        <item x="50"/>
        <item x="88"/>
        <item x="109"/>
        <item x="79"/>
        <item x="92"/>
        <item x="35"/>
        <item x="6"/>
        <item x="77"/>
        <item x="20"/>
        <item x="24"/>
        <item x="32"/>
        <item x="40"/>
        <item x="53"/>
        <item x="75"/>
        <item x="86"/>
        <item x="94"/>
        <item x="1"/>
        <item x="47"/>
        <item x="62"/>
        <item x="73"/>
        <item x="101"/>
        <item x="87"/>
        <item x="66"/>
        <item x="25"/>
        <item x="127"/>
        <item x="56"/>
        <item x="89"/>
        <item x="51"/>
        <item x="83"/>
        <item x="30"/>
        <item x="18"/>
        <item x="98"/>
        <item x="63"/>
        <item x="65"/>
        <item x="17"/>
        <item x="43"/>
        <item x="118"/>
        <item x="57"/>
        <item x="103"/>
        <item x="14"/>
        <item x="107"/>
        <item x="113"/>
        <item x="34"/>
        <item x="0"/>
        <item x="84"/>
        <item x="15"/>
        <item x="130"/>
        <item x="5"/>
        <item x="2"/>
        <item x="59"/>
        <item x="55"/>
        <item x="52"/>
        <item x="58"/>
        <item x="126"/>
        <item x="26"/>
        <item x="4"/>
        <item x="123"/>
        <item x="21"/>
        <item x="64"/>
        <item x="22"/>
        <item x="111"/>
        <item x="90"/>
        <item x="120"/>
        <item x="45"/>
        <item x="131"/>
        <item x="106"/>
        <item x="132"/>
        <item x="104"/>
        <item x="119"/>
        <item x="100"/>
        <item x="121"/>
        <item x="61"/>
        <item x="110"/>
        <item x="115"/>
        <item x="60"/>
        <item x="76"/>
        <item x="36"/>
        <item x="54"/>
        <item x="11"/>
        <item x="97"/>
        <item x="13"/>
        <item x="9"/>
        <item x="10"/>
        <item x="99"/>
        <item x="69"/>
        <item x="33"/>
        <item x="81"/>
        <item x="68"/>
        <item x="105"/>
        <item x="78"/>
        <item x="114"/>
        <item x="28"/>
        <item x="96"/>
        <item x="12"/>
        <item x="70"/>
        <item x="112"/>
        <item x="72"/>
        <item x="124"/>
        <item x="129"/>
        <item x="23"/>
        <item x="44"/>
        <item x="49"/>
        <item x="8"/>
        <item x="125"/>
        <item x="27"/>
        <item x="80"/>
        <item x="93"/>
        <item x="82"/>
        <item x="38"/>
        <item x="31"/>
        <item x="42"/>
        <item x="117"/>
        <item x="37"/>
        <item x="67"/>
        <item x="91"/>
        <item x="19"/>
        <item x="108"/>
        <item t="default"/>
      </items>
    </pivotField>
    <pivotField compact="0" showAll="0">
      <items count="4">
        <item x="0"/>
        <item x="1"/>
        <item x="2"/>
        <item t="default"/>
      </items>
    </pivotField>
  </pivotFields>
  <dataFields count="1">
    <dataField name="Average of REVENUE" fld="11" subtotal="average" baseField="0" baseItem="0" numFmtId="179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11:E12" firstHeaderRow="1" firstDataRow="1" firstDataCol="0"/>
  <pivotFields count="14">
    <pivotField compact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compact="0" numFmtId="182" showAll="0"/>
    <pivotField compact="0" showAll="0"/>
    <pivotField compact="0" showAll="0"/>
    <pivotField compact="0" showAll="0"/>
    <pivotField compact="0" showAll="0"/>
    <pivotField compact="0" showAll="0"/>
    <pivotField compact="0" numFmtId="181" showAll="0"/>
    <pivotField dataField="1" compact="0" showAll="0">
      <items count="10">
        <item x="0"/>
        <item x="3"/>
        <item x="8"/>
        <item x="1"/>
        <item x="2"/>
        <item x="6"/>
        <item x="7"/>
        <item x="4"/>
        <item x="5"/>
        <item t="default"/>
      </items>
    </pivotField>
    <pivotField compact="0" numFmtId="181" showAll="0"/>
    <pivotField compact="0" numFmtId="181" showAll="0"/>
    <pivotField compact="0" numFmtId="181" showAll="0"/>
    <pivotField compact="0" numFmtId="181" showAll="0"/>
    <pivotField compact="0" showAll="0"/>
  </pivotFields>
  <dataFields count="1">
    <dataField name="Count of QUANTITY SOLD" fld="8" subtotal="count" baseField="0" baseItem="0" numFmtId="180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14" name="MONTHLY PERFORMANCE"/>
    <pivotTable tabId="13" name="KPI TOTAL PROFIT"/>
    <pivotTable tabId="13" name="KPI TOTAL REVENUE"/>
    <pivotTable tabId="13" name="KPI QUANTITY SUM"/>
    <pivotTable tabId="13" name="KPI AVERAGE ORDER"/>
    <pivotTable tabId="14" name="CATEGOTY PERFORMANCE"/>
    <pivotTable tabId="14" name="CITY PERFORMANCE"/>
    <pivotTable tabId="14" name="TOP 10 PRODUCT BY REVENUE &amp; PROFIT"/>
    <pivotTable tabId="14" name="PAYMENT METHOD PEFORMANCE"/>
    <pivotTable tabId="14" name="MEMEBERSHIP PEFORMANCE"/>
    <pivotTable tabId="14" name="TOP 10 PRODUCT BY QUANTITY SOLD"/>
  </pivotTables>
  <data>
    <tabular pivotCacheId="1">
      <items count="6">
        <i x="2" s="1"/>
        <i x="5" s="1"/>
        <i x="1" s="1"/>
        <i x="4" s="1"/>
        <i x="3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TYPE" sourceName="CUSTOMER TYPE">
  <pivotTables>
    <pivotTable tabId="14" name="MONTHLY PERFORMANCE"/>
    <pivotTable tabId="13" name="KPI TOTAL PROFIT"/>
    <pivotTable tabId="13" name="KPI TOTAL REVENUE"/>
    <pivotTable tabId="13" name="KPI QUANTITY SUM"/>
    <pivotTable tabId="13" name="KPI AVERAGE ORDER"/>
    <pivotTable tabId="14" name="CATEGOTY PERFORMANCE"/>
    <pivotTable tabId="14" name="CITY PERFORMANCE"/>
    <pivotTable tabId="14" name="TOP 10 PRODUCT BY REVENUE &amp; PROFIT"/>
    <pivotTable tabId="14" name="PAYMENT METHOD PEFORMANCE"/>
    <pivotTable tabId="14" name="MEMEBERSHIP PEFORMANCE"/>
    <pivotTable tabId="14" name="TOP 10 PRODUCT BY QUANTITY SOLD"/>
  </pivotTables>
  <data>
    <tabular pivotCacheId="1">
      <items count="2">
        <i x="1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" sourceName="CITY">
  <pivotTables>
    <pivotTable tabId="14" name="MONTHLY PERFORMANCE"/>
    <pivotTable tabId="13" name="KPI TOTAL PROFIT"/>
    <pivotTable tabId="13" name="KPI TOTAL REVENUE"/>
    <pivotTable tabId="13" name="KPI QUANTITY SUM"/>
    <pivotTable tabId="13" name="KPI AVERAGE ORDER"/>
    <pivotTable tabId="14" name="CATEGOTY PERFORMANCE"/>
    <pivotTable tabId="14" name="CITY PERFORMANCE"/>
    <pivotTable tabId="14" name="TOP 10 PRODUCT BY REVENUE &amp; PROFIT"/>
    <pivotTable tabId="14" name="PAYMENT METHOD PEFORMANCE"/>
    <pivotTable tabId="14" name="MEMEBERSHIP PEFORMANCE"/>
    <pivotTable tabId="14" name="TOP 10 PRODUCT BY QUANTITY SOLD"/>
  </pivotTables>
  <data>
    <tabular pivotCacheId="1">
      <items count="5">
        <i x="2" s="1"/>
        <i x="4" s="1"/>
        <i x="0" s="1"/>
        <i x="3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TE" sourceName="DATE">
  <pivotTables>
    <pivotTable tabId="14" name="MONTHLY PERFORMANCE"/>
    <pivotTable tabId="13" name="KPI TOTAL PROFIT"/>
    <pivotTable tabId="13" name="KPI TOTAL REVENUE"/>
    <pivotTable tabId="13" name="KPI QUANTITY SUM"/>
    <pivotTable tabId="13" name="KPI AVERAGE ORDER"/>
    <pivotTable tabId="14" name="CATEGOTY PERFORMANCE"/>
    <pivotTable tabId="14" name="CITY PERFORMANCE"/>
    <pivotTable tabId="14" name="TOP 10 PRODUCT BY REVENUE &amp; PROFIT"/>
    <pivotTable tabId="14" name="PAYMENT METHOD PEFORMANCE"/>
    <pivotTable tabId="14" name="MEMEBERSHIP PEFORMANCE"/>
    <pivotTable tabId="14" name="TOP 10 PRODUCT BY QUANTITY SOLD"/>
  </pivotTables>
  <data>
    <tabular pivotCacheId="1">
      <items count="14">
        <i x="5" s="1"/>
        <i x="6" s="1"/>
        <i x="7" s="1"/>
        <i x="8" s="1"/>
        <i x="1" s="1" nd="1"/>
        <i x="2" s="1" nd="1"/>
        <i x="3" s="1" nd="1"/>
        <i x="4" s="1" nd="1"/>
        <i x="9" s="1" nd="1"/>
        <i x="10" s="1" nd="1"/>
        <i x="11" s="1" nd="1"/>
        <i x="12" s="1" nd="1"/>
        <i x="0" s="1" nd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ATE" cache="Slicer_DATE" caption="DATE" style="Slicer 44" lockedPosition="1" rowHeight="225425"/>
  <slicer name="CITY" cache="Slicer_CITY" caption="CITY" style="Slicer 44" lockedPosition="1" rowHeight="225425"/>
  <slicer name="CUSTOMER TYPE" cache="Slicer_CUSTOMER_TYPE" caption="CUSTOMER TYPE" style="Slicer 44" lockedPosition="1" rowHeight="225425"/>
  <slicer name="CATEGORY" cache="Slicer_CATEGORY" caption="CATEGORY" style="Slicer 44" lockedPosition="1" rowHeight="225425"/>
</slicers>
</file>

<file path=xl/tables/table1.xml><?xml version="1.0" encoding="utf-8"?>
<table xmlns="http://schemas.openxmlformats.org/spreadsheetml/2006/main" id="1" name="Table1" displayName="Table1" ref="A1:N301" totalsRowShown="0">
  <autoFilter xmlns:etc="http://www.wps.cn/officeDocument/2017/etCustomData" ref="A1:N301" etc:filterBottomFollowUsedRange="0"/>
  <tableColumns count="14">
    <tableColumn id="1" name="INVOICE No." dataDxfId="0"/>
    <tableColumn id="2" name="DATE" dataDxfId="1"/>
    <tableColumn id="3" name="CITY"/>
    <tableColumn id="4" name="CUSTOMER TYPE"/>
    <tableColumn id="5" name="PRODUCT ID"/>
    <tableColumn id="6" name="PRODUCT NAME">
      <calculatedColumnFormula>_xlfn.XLOOKUP(E2,'KING TON SALES__ RAW DATA'!$A$2:$A$271,'KING TON SALES__ RAW DATA'!$B$2:$B$271)</calculatedColumnFormula>
    </tableColumn>
    <tableColumn id="7" name="CATEGORY">
      <calculatedColumnFormula>_xlfn.XLOOKUP(E2,'KING TON SALES__ RAW DATA'!$A$2:$A$271,'KING TON SALES__ RAW DATA'!$D$2:$D$271)</calculatedColumnFormula>
    </tableColumn>
    <tableColumn id="8" name="COST PRICE" dataDxfId="2">
      <calculatedColumnFormula>_xlfn.XLOOKUP(E2,'KING TON SALES__ RAW DATA'!$A$2:$A$271,'KING TON SALES__ RAW DATA'!$G$2:$G$271)</calculatedColumnFormula>
    </tableColumn>
    <tableColumn id="9" name="QUANTITY SOLD"/>
    <tableColumn id="10" name="SELLING PRICE" dataDxfId="3">
      <calculatedColumnFormula>_xlfn.XLOOKUP(E2,'KING TON SALES__ RAW DATA'!$A$2:$A$271,'KING TON SALES__ RAW DATA'!$I$2:$I$271)</calculatedColumnFormula>
    </tableColumn>
    <tableColumn id="11" name="COGS" dataDxfId="4">
      <calculatedColumnFormula>H2*I2</calculatedColumnFormula>
    </tableColumn>
    <tableColumn id="12" name="REVENUE" dataDxfId="5">
      <calculatedColumnFormula>J2*I2</calculatedColumnFormula>
    </tableColumn>
    <tableColumn id="13" name="TOTAL PROFIT" dataDxfId="6">
      <calculatedColumnFormula>L2-K2</calculatedColumnFormula>
    </tableColumn>
    <tableColumn id="14" name="PAYMENT METHOD">
      <calculatedColumnFormula>_xlfn.XLOOKUP(E2,'KING TON SALES__ RAW DATA'!$A$2:$A$271,'KING TON SALES__ RAW DATA'!$M$2:$M$271)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12.xml"/><Relationship Id="rId4" Type="http://schemas.openxmlformats.org/officeDocument/2006/relationships/pivotTable" Target="../pivotTables/pivotTable11.xml"/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1"/>
  <sheetViews>
    <sheetView workbookViewId="0">
      <selection activeCell="O4" sqref="O4:O25"/>
    </sheetView>
  </sheetViews>
  <sheetFormatPr defaultColWidth="9" defaultRowHeight="15"/>
  <cols>
    <col min="1" max="1" width="17.7142857142857" customWidth="1"/>
    <col min="2" max="2" width="46.8571428571429" customWidth="1"/>
    <col min="3" max="3" width="12.7142857142857" customWidth="1"/>
    <col min="4" max="4" width="19.1428571428571" customWidth="1"/>
    <col min="5" max="5" width="24.2857142857143" customWidth="1"/>
    <col min="6" max="6" width="9.14285714285714" customWidth="1"/>
    <col min="7" max="7" width="15.7142857142857" customWidth="1"/>
    <col min="8" max="8" width="10.2857142857143" customWidth="1"/>
    <col min="9" max="9" width="19.2857142857143" customWidth="1"/>
    <col min="10" max="10" width="23.8571428571429" customWidth="1"/>
    <col min="11" max="11" width="16.7142857142857" customWidth="1"/>
    <col min="12" max="12" width="15.5714285714286" customWidth="1"/>
    <col min="13" max="13" width="28.1428571428571" customWidth="1"/>
    <col min="15" max="15" width="10.5714285714286" customWidth="1"/>
    <col min="16" max="16" width="10.4285714285714" customWidth="1"/>
  </cols>
  <sheetData>
    <row r="1" ht="21" spans="1:1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O1" s="9" t="s">
        <v>13</v>
      </c>
      <c r="P1" s="9" t="s">
        <v>14</v>
      </c>
    </row>
    <row r="2" spans="1:16">
      <c r="A2" t="s">
        <v>15</v>
      </c>
      <c r="B2" t="s">
        <v>16</v>
      </c>
      <c r="C2" s="8">
        <f ca="1">RANDBETWEEN(DATE(2026,1,1),DATE(2026,4,30))</f>
        <v>46070</v>
      </c>
      <c r="D2" t="s">
        <v>17</v>
      </c>
      <c r="E2" s="10" t="s">
        <v>18</v>
      </c>
      <c r="F2" s="10" t="s">
        <v>19</v>
      </c>
      <c r="G2" s="10">
        <v>600</v>
      </c>
      <c r="H2">
        <v>50</v>
      </c>
      <c r="I2" s="10">
        <v>1500</v>
      </c>
      <c r="J2" s="11">
        <f ca="1">RANDBETWEEN(15,20)</f>
        <v>18</v>
      </c>
      <c r="K2" s="10">
        <f ca="1">G2*J2</f>
        <v>10800</v>
      </c>
      <c r="L2" s="10">
        <f ca="1">I2*J2</f>
        <v>27000</v>
      </c>
      <c r="M2" t="s">
        <v>20</v>
      </c>
      <c r="O2" s="12">
        <f>DATE(2026,1,1)</f>
        <v>46023</v>
      </c>
      <c r="P2" s="12">
        <f>DATE(2026,9,12)</f>
        <v>46277</v>
      </c>
    </row>
    <row r="3" spans="1:13">
      <c r="A3" t="s">
        <v>21</v>
      </c>
      <c r="B3" t="s">
        <v>22</v>
      </c>
      <c r="C3" s="8">
        <f ca="1" t="shared" ref="C3:C12" si="0">RANDBETWEEN(DATE(2026,1,1),DATE(2026,4,30))</f>
        <v>46101</v>
      </c>
      <c r="D3" t="s">
        <v>17</v>
      </c>
      <c r="E3" s="10" t="s">
        <v>23</v>
      </c>
      <c r="F3" s="10" t="s">
        <v>19</v>
      </c>
      <c r="G3" s="10">
        <v>500</v>
      </c>
      <c r="H3">
        <v>63</v>
      </c>
      <c r="I3" s="10">
        <v>1000</v>
      </c>
      <c r="J3" s="11">
        <f ca="1" t="shared" ref="J3:J12" si="1">RANDBETWEEN(15,20)</f>
        <v>20</v>
      </c>
      <c r="K3" s="10">
        <f ca="1" t="shared" ref="K3:K66" si="2">G3*J3</f>
        <v>10000</v>
      </c>
      <c r="L3" s="10">
        <f ca="1" t="shared" ref="L3:L66" si="3">I3*J3</f>
        <v>20000</v>
      </c>
      <c r="M3" t="s">
        <v>24</v>
      </c>
    </row>
    <row r="4" spans="1:14">
      <c r="A4" t="s">
        <v>25</v>
      </c>
      <c r="B4" t="s">
        <v>26</v>
      </c>
      <c r="C4" s="8">
        <f ca="1" t="shared" si="0"/>
        <v>46109</v>
      </c>
      <c r="D4" t="s">
        <v>17</v>
      </c>
      <c r="E4" s="10" t="s">
        <v>23</v>
      </c>
      <c r="F4" s="10" t="s">
        <v>19</v>
      </c>
      <c r="G4" s="10">
        <v>500</v>
      </c>
      <c r="H4">
        <v>67</v>
      </c>
      <c r="I4" s="10">
        <v>1500</v>
      </c>
      <c r="J4" s="11">
        <f ca="1" t="shared" si="1"/>
        <v>17</v>
      </c>
      <c r="K4" s="10">
        <f ca="1" t="shared" si="2"/>
        <v>8500</v>
      </c>
      <c r="L4" s="10">
        <f ca="1" t="shared" si="3"/>
        <v>25500</v>
      </c>
      <c r="M4" t="s">
        <v>20</v>
      </c>
      <c r="N4" t="s">
        <v>27</v>
      </c>
    </row>
    <row r="5" spans="1:13">
      <c r="A5" t="s">
        <v>28</v>
      </c>
      <c r="B5" t="s">
        <v>29</v>
      </c>
      <c r="C5" s="8">
        <f ca="1" t="shared" si="0"/>
        <v>46115</v>
      </c>
      <c r="D5" t="s">
        <v>17</v>
      </c>
      <c r="E5" s="10" t="s">
        <v>18</v>
      </c>
      <c r="F5" s="10" t="s">
        <v>19</v>
      </c>
      <c r="G5" s="10">
        <v>500</v>
      </c>
      <c r="H5">
        <v>59</v>
      </c>
      <c r="I5" s="10">
        <v>1000</v>
      </c>
      <c r="J5" s="11">
        <f ca="1" t="shared" si="1"/>
        <v>18</v>
      </c>
      <c r="K5" s="10">
        <f ca="1" t="shared" si="2"/>
        <v>9000</v>
      </c>
      <c r="L5" s="10">
        <f ca="1" t="shared" si="3"/>
        <v>18000</v>
      </c>
      <c r="M5" t="s">
        <v>30</v>
      </c>
    </row>
    <row r="6" spans="1:13">
      <c r="A6" t="s">
        <v>31</v>
      </c>
      <c r="B6" t="s">
        <v>32</v>
      </c>
      <c r="C6" s="8">
        <f ca="1" t="shared" si="0"/>
        <v>46133</v>
      </c>
      <c r="D6" t="s">
        <v>17</v>
      </c>
      <c r="E6" s="10" t="s">
        <v>23</v>
      </c>
      <c r="F6" s="10" t="s">
        <v>33</v>
      </c>
      <c r="G6" s="10">
        <v>600</v>
      </c>
      <c r="H6">
        <v>57</v>
      </c>
      <c r="I6" s="10">
        <v>1000</v>
      </c>
      <c r="J6" s="11">
        <f ca="1" t="shared" si="1"/>
        <v>15</v>
      </c>
      <c r="K6" s="10">
        <f ca="1" t="shared" si="2"/>
        <v>9000</v>
      </c>
      <c r="L6" s="10">
        <f ca="1" t="shared" si="3"/>
        <v>15000</v>
      </c>
      <c r="M6" t="s">
        <v>30</v>
      </c>
    </row>
    <row r="7" spans="1:13">
      <c r="A7" t="s">
        <v>34</v>
      </c>
      <c r="B7" t="s">
        <v>35</v>
      </c>
      <c r="C7" s="8">
        <f ca="1" t="shared" si="0"/>
        <v>46041</v>
      </c>
      <c r="D7" t="s">
        <v>17</v>
      </c>
      <c r="E7" s="10" t="s">
        <v>18</v>
      </c>
      <c r="F7" s="10" t="s">
        <v>36</v>
      </c>
      <c r="G7" s="10">
        <v>600</v>
      </c>
      <c r="H7">
        <v>67</v>
      </c>
      <c r="I7" s="10">
        <v>1500</v>
      </c>
      <c r="J7" s="11">
        <f ca="1" t="shared" si="1"/>
        <v>16</v>
      </c>
      <c r="K7" s="10">
        <f ca="1" t="shared" si="2"/>
        <v>9600</v>
      </c>
      <c r="L7" s="10">
        <f ca="1" t="shared" si="3"/>
        <v>24000</v>
      </c>
      <c r="M7" t="s">
        <v>20</v>
      </c>
    </row>
    <row r="8" spans="1:13">
      <c r="A8" t="s">
        <v>37</v>
      </c>
      <c r="B8" t="s">
        <v>38</v>
      </c>
      <c r="C8" s="8">
        <f ca="1" t="shared" si="0"/>
        <v>46092</v>
      </c>
      <c r="D8" t="s">
        <v>17</v>
      </c>
      <c r="E8" s="10" t="s">
        <v>23</v>
      </c>
      <c r="F8" s="10" t="s">
        <v>19</v>
      </c>
      <c r="G8" s="10">
        <v>800</v>
      </c>
      <c r="H8">
        <v>46</v>
      </c>
      <c r="I8" s="10">
        <v>2500</v>
      </c>
      <c r="J8" s="11">
        <f ca="1" t="shared" si="1"/>
        <v>15</v>
      </c>
      <c r="K8" s="10">
        <f ca="1" t="shared" si="2"/>
        <v>12000</v>
      </c>
      <c r="L8" s="10">
        <f ca="1" t="shared" si="3"/>
        <v>37500</v>
      </c>
      <c r="M8" t="s">
        <v>20</v>
      </c>
    </row>
    <row r="9" spans="1:13">
      <c r="A9" t="s">
        <v>39</v>
      </c>
      <c r="B9" t="s">
        <v>40</v>
      </c>
      <c r="C9" s="8">
        <f ca="1" t="shared" si="0"/>
        <v>46080</v>
      </c>
      <c r="D9" t="s">
        <v>17</v>
      </c>
      <c r="E9" s="10" t="s">
        <v>23</v>
      </c>
      <c r="F9" s="10" t="s">
        <v>36</v>
      </c>
      <c r="G9" s="10">
        <v>1200</v>
      </c>
      <c r="H9">
        <v>45</v>
      </c>
      <c r="I9" s="10">
        <v>2500</v>
      </c>
      <c r="J9" s="11">
        <f ca="1" t="shared" si="1"/>
        <v>20</v>
      </c>
      <c r="K9" s="10">
        <f ca="1" t="shared" si="2"/>
        <v>24000</v>
      </c>
      <c r="L9" s="10">
        <f ca="1" t="shared" si="3"/>
        <v>50000</v>
      </c>
      <c r="M9" t="s">
        <v>20</v>
      </c>
    </row>
    <row r="10" spans="1:13">
      <c r="A10" t="s">
        <v>41</v>
      </c>
      <c r="B10" t="s">
        <v>42</v>
      </c>
      <c r="C10" s="8">
        <f ca="1" t="shared" si="0"/>
        <v>46138</v>
      </c>
      <c r="D10" t="s">
        <v>17</v>
      </c>
      <c r="E10" s="10" t="s">
        <v>18</v>
      </c>
      <c r="F10" s="10" t="s">
        <v>43</v>
      </c>
      <c r="G10" s="10">
        <v>1500</v>
      </c>
      <c r="H10">
        <v>36</v>
      </c>
      <c r="I10" s="10">
        <v>3500</v>
      </c>
      <c r="J10" s="11">
        <f ca="1" t="shared" si="1"/>
        <v>18</v>
      </c>
      <c r="K10" s="10">
        <f ca="1" t="shared" si="2"/>
        <v>27000</v>
      </c>
      <c r="L10" s="10">
        <f ca="1" t="shared" si="3"/>
        <v>63000</v>
      </c>
      <c r="M10" t="s">
        <v>20</v>
      </c>
    </row>
    <row r="11" spans="1:13">
      <c r="A11" t="s">
        <v>44</v>
      </c>
      <c r="B11" t="s">
        <v>45</v>
      </c>
      <c r="C11" s="8">
        <f ca="1" t="shared" si="0"/>
        <v>46051</v>
      </c>
      <c r="D11" t="s">
        <v>17</v>
      </c>
      <c r="E11" s="10" t="s">
        <v>23</v>
      </c>
      <c r="F11" s="10" t="s">
        <v>43</v>
      </c>
      <c r="G11" s="10">
        <v>2500</v>
      </c>
      <c r="H11">
        <v>32</v>
      </c>
      <c r="I11" s="10">
        <v>5000</v>
      </c>
      <c r="J11" s="11">
        <f ca="1" t="shared" si="1"/>
        <v>19</v>
      </c>
      <c r="K11" s="10">
        <f ca="1" t="shared" si="2"/>
        <v>47500</v>
      </c>
      <c r="L11" s="10">
        <f ca="1" t="shared" si="3"/>
        <v>95000</v>
      </c>
      <c r="M11" t="s">
        <v>20</v>
      </c>
    </row>
    <row r="12" spans="1:13">
      <c r="A12" t="s">
        <v>46</v>
      </c>
      <c r="B12" t="s">
        <v>47</v>
      </c>
      <c r="C12" s="8">
        <f ca="1" t="shared" si="0"/>
        <v>46069</v>
      </c>
      <c r="D12" t="s">
        <v>17</v>
      </c>
      <c r="E12" s="10" t="s">
        <v>18</v>
      </c>
      <c r="F12" s="10" t="s">
        <v>19</v>
      </c>
      <c r="G12" s="10">
        <v>600</v>
      </c>
      <c r="H12">
        <v>30</v>
      </c>
      <c r="I12" s="10">
        <v>1000</v>
      </c>
      <c r="J12" s="11">
        <f ca="1" t="shared" si="1"/>
        <v>18</v>
      </c>
      <c r="K12" s="10">
        <f ca="1" t="shared" si="2"/>
        <v>10800</v>
      </c>
      <c r="L12" s="10">
        <f ca="1" t="shared" si="3"/>
        <v>18000</v>
      </c>
      <c r="M12" t="s">
        <v>24</v>
      </c>
    </row>
    <row r="13" spans="1:13">
      <c r="A13" t="s">
        <v>48</v>
      </c>
      <c r="B13" t="s">
        <v>49</v>
      </c>
      <c r="C13" s="8">
        <f ca="1" t="shared" ref="C13:C22" si="4">RANDBETWEEN(DATE(2026,1,1),DATE(2026,4,30))</f>
        <v>46071</v>
      </c>
      <c r="D13" t="s">
        <v>17</v>
      </c>
      <c r="E13" s="10" t="s">
        <v>23</v>
      </c>
      <c r="F13" s="10" t="s">
        <v>33</v>
      </c>
      <c r="G13" s="10">
        <v>600</v>
      </c>
      <c r="H13">
        <v>35</v>
      </c>
      <c r="I13" s="10">
        <v>1500</v>
      </c>
      <c r="J13" s="11">
        <f ca="1" t="shared" ref="J13:J22" si="5">RANDBETWEEN(15,20)</f>
        <v>20</v>
      </c>
      <c r="K13" s="10">
        <f ca="1" t="shared" si="2"/>
        <v>12000</v>
      </c>
      <c r="L13" s="10">
        <f ca="1" t="shared" si="3"/>
        <v>30000</v>
      </c>
      <c r="M13" t="s">
        <v>24</v>
      </c>
    </row>
    <row r="14" spans="1:13">
      <c r="A14" t="s">
        <v>50</v>
      </c>
      <c r="B14" t="s">
        <v>51</v>
      </c>
      <c r="C14" s="8">
        <f ca="1" t="shared" si="4"/>
        <v>46094</v>
      </c>
      <c r="D14" t="s">
        <v>17</v>
      </c>
      <c r="E14" s="10" t="s">
        <v>23</v>
      </c>
      <c r="F14" s="10" t="s">
        <v>52</v>
      </c>
      <c r="G14" s="10">
        <v>1200</v>
      </c>
      <c r="H14">
        <v>39</v>
      </c>
      <c r="I14" s="10">
        <v>2500</v>
      </c>
      <c r="J14" s="11">
        <f ca="1" t="shared" si="5"/>
        <v>17</v>
      </c>
      <c r="K14" s="10">
        <f ca="1" t="shared" si="2"/>
        <v>20400</v>
      </c>
      <c r="L14" s="10">
        <f ca="1" t="shared" si="3"/>
        <v>42500</v>
      </c>
      <c r="M14" t="s">
        <v>24</v>
      </c>
    </row>
    <row r="15" spans="1:13">
      <c r="A15" t="s">
        <v>53</v>
      </c>
      <c r="B15" t="s">
        <v>54</v>
      </c>
      <c r="C15" s="8">
        <f ca="1" t="shared" si="4"/>
        <v>46112</v>
      </c>
      <c r="D15" t="s">
        <v>17</v>
      </c>
      <c r="E15" s="10" t="s">
        <v>18</v>
      </c>
      <c r="F15" s="10" t="s">
        <v>52</v>
      </c>
      <c r="G15" s="10">
        <v>2500</v>
      </c>
      <c r="H15">
        <v>46</v>
      </c>
      <c r="I15" s="10">
        <v>5000</v>
      </c>
      <c r="J15" s="11">
        <f ca="1" t="shared" si="5"/>
        <v>17</v>
      </c>
      <c r="K15" s="10">
        <f ca="1" t="shared" si="2"/>
        <v>42500</v>
      </c>
      <c r="L15" s="10">
        <f ca="1" t="shared" si="3"/>
        <v>85000</v>
      </c>
      <c r="M15" t="s">
        <v>30</v>
      </c>
    </row>
    <row r="16" spans="1:13">
      <c r="A16" t="s">
        <v>55</v>
      </c>
      <c r="B16" t="s">
        <v>56</v>
      </c>
      <c r="C16" s="8">
        <f ca="1" t="shared" si="4"/>
        <v>46113</v>
      </c>
      <c r="D16" t="s">
        <v>17</v>
      </c>
      <c r="E16" s="10" t="s">
        <v>23</v>
      </c>
      <c r="F16" s="10" t="s">
        <v>19</v>
      </c>
      <c r="G16" s="10">
        <v>3000</v>
      </c>
      <c r="H16">
        <v>60</v>
      </c>
      <c r="I16" s="10">
        <v>8000</v>
      </c>
      <c r="J16" s="11">
        <f ca="1" t="shared" si="5"/>
        <v>20</v>
      </c>
      <c r="K16" s="10">
        <f ca="1" t="shared" si="2"/>
        <v>60000</v>
      </c>
      <c r="L16" s="10">
        <f ca="1" t="shared" si="3"/>
        <v>160000</v>
      </c>
      <c r="M16" t="s">
        <v>30</v>
      </c>
    </row>
    <row r="17" spans="1:13">
      <c r="A17" t="s">
        <v>57</v>
      </c>
      <c r="B17" t="s">
        <v>58</v>
      </c>
      <c r="C17" s="8">
        <f ca="1" t="shared" si="4"/>
        <v>46041</v>
      </c>
      <c r="D17" t="s">
        <v>17</v>
      </c>
      <c r="E17" s="10" t="s">
        <v>18</v>
      </c>
      <c r="F17" s="10" t="s">
        <v>19</v>
      </c>
      <c r="G17" s="10">
        <v>4000</v>
      </c>
      <c r="H17">
        <v>62</v>
      </c>
      <c r="I17" s="10">
        <v>12000</v>
      </c>
      <c r="J17" s="11">
        <f ca="1" t="shared" si="5"/>
        <v>15</v>
      </c>
      <c r="K17" s="10">
        <f ca="1" t="shared" si="2"/>
        <v>60000</v>
      </c>
      <c r="L17" s="10">
        <f ca="1" t="shared" si="3"/>
        <v>180000</v>
      </c>
      <c r="M17" t="s">
        <v>30</v>
      </c>
    </row>
    <row r="18" spans="1:13">
      <c r="A18" t="s">
        <v>59</v>
      </c>
      <c r="B18" t="s">
        <v>60</v>
      </c>
      <c r="C18" s="8">
        <f ca="1" t="shared" si="4"/>
        <v>46080</v>
      </c>
      <c r="D18" t="s">
        <v>17</v>
      </c>
      <c r="E18" s="10" t="s">
        <v>23</v>
      </c>
      <c r="F18" s="10" t="s">
        <v>19</v>
      </c>
      <c r="G18" s="10">
        <v>10000</v>
      </c>
      <c r="H18">
        <v>53</v>
      </c>
      <c r="I18" s="10">
        <v>15000</v>
      </c>
      <c r="J18" s="11">
        <f ca="1" t="shared" si="5"/>
        <v>20</v>
      </c>
      <c r="K18" s="10">
        <f ca="1" t="shared" si="2"/>
        <v>200000</v>
      </c>
      <c r="L18" s="10">
        <f ca="1" t="shared" si="3"/>
        <v>300000</v>
      </c>
      <c r="M18" t="s">
        <v>30</v>
      </c>
    </row>
    <row r="19" spans="1:13">
      <c r="A19" t="s">
        <v>61</v>
      </c>
      <c r="B19" t="s">
        <v>62</v>
      </c>
      <c r="C19" s="8">
        <f ca="1" t="shared" si="4"/>
        <v>46094</v>
      </c>
      <c r="D19" t="s">
        <v>17</v>
      </c>
      <c r="E19" s="10" t="s">
        <v>23</v>
      </c>
      <c r="F19" s="10" t="s">
        <v>19</v>
      </c>
      <c r="G19" s="10">
        <v>15000</v>
      </c>
      <c r="H19">
        <v>52</v>
      </c>
      <c r="I19" s="10">
        <v>20000</v>
      </c>
      <c r="J19" s="11">
        <f ca="1" t="shared" si="5"/>
        <v>17</v>
      </c>
      <c r="K19" s="10">
        <f ca="1" t="shared" si="2"/>
        <v>255000</v>
      </c>
      <c r="L19" s="10">
        <f ca="1" t="shared" si="3"/>
        <v>340000</v>
      </c>
      <c r="M19" t="s">
        <v>30</v>
      </c>
    </row>
    <row r="20" spans="1:13">
      <c r="A20" t="s">
        <v>63</v>
      </c>
      <c r="B20" t="s">
        <v>64</v>
      </c>
      <c r="C20" s="8">
        <f ca="1" t="shared" si="4"/>
        <v>46067</v>
      </c>
      <c r="D20" t="s">
        <v>17</v>
      </c>
      <c r="E20" s="10" t="s">
        <v>18</v>
      </c>
      <c r="F20" s="10" t="s">
        <v>19</v>
      </c>
      <c r="G20" s="10">
        <v>3000</v>
      </c>
      <c r="H20">
        <v>51</v>
      </c>
      <c r="I20" s="10">
        <v>8000</v>
      </c>
      <c r="J20" s="11">
        <f ca="1" t="shared" si="5"/>
        <v>16</v>
      </c>
      <c r="K20" s="10">
        <f ca="1" t="shared" si="2"/>
        <v>48000</v>
      </c>
      <c r="L20" s="10">
        <f ca="1" t="shared" si="3"/>
        <v>128000</v>
      </c>
      <c r="M20" t="s">
        <v>20</v>
      </c>
    </row>
    <row r="21" spans="1:13">
      <c r="A21" t="s">
        <v>65</v>
      </c>
      <c r="B21" t="s">
        <v>66</v>
      </c>
      <c r="C21" s="8">
        <f ca="1" t="shared" si="4"/>
        <v>46087</v>
      </c>
      <c r="D21" t="s">
        <v>17</v>
      </c>
      <c r="E21" s="10" t="s">
        <v>23</v>
      </c>
      <c r="F21" s="10" t="s">
        <v>33</v>
      </c>
      <c r="G21" s="10">
        <v>5000</v>
      </c>
      <c r="H21">
        <v>48</v>
      </c>
      <c r="I21" s="10">
        <v>15000</v>
      </c>
      <c r="J21" s="11">
        <f ca="1" t="shared" si="5"/>
        <v>17</v>
      </c>
      <c r="K21" s="10">
        <f ca="1" t="shared" si="2"/>
        <v>85000</v>
      </c>
      <c r="L21" s="10">
        <f ca="1" t="shared" si="3"/>
        <v>255000</v>
      </c>
      <c r="M21" t="s">
        <v>24</v>
      </c>
    </row>
    <row r="22" spans="1:13">
      <c r="A22" t="s">
        <v>67</v>
      </c>
      <c r="B22" t="s">
        <v>68</v>
      </c>
      <c r="C22" s="8">
        <f ca="1" t="shared" si="4"/>
        <v>46069</v>
      </c>
      <c r="D22" t="s">
        <v>17</v>
      </c>
      <c r="E22" s="10" t="s">
        <v>18</v>
      </c>
      <c r="F22" s="10" t="s">
        <v>36</v>
      </c>
      <c r="G22" s="10">
        <v>20000</v>
      </c>
      <c r="H22">
        <v>57</v>
      </c>
      <c r="I22" s="10">
        <v>25000</v>
      </c>
      <c r="J22" s="11">
        <f ca="1" t="shared" si="5"/>
        <v>20</v>
      </c>
      <c r="K22" s="10">
        <f ca="1" t="shared" si="2"/>
        <v>400000</v>
      </c>
      <c r="L22" s="10">
        <f ca="1" t="shared" si="3"/>
        <v>500000</v>
      </c>
      <c r="M22" t="s">
        <v>20</v>
      </c>
    </row>
    <row r="23" spans="1:13">
      <c r="A23" t="s">
        <v>69</v>
      </c>
      <c r="B23" t="s">
        <v>70</v>
      </c>
      <c r="C23" s="8">
        <f ca="1" t="shared" ref="C23:C32" si="6">RANDBETWEEN(DATE(2026,1,1),DATE(2026,4,30))</f>
        <v>46074</v>
      </c>
      <c r="D23" t="s">
        <v>17</v>
      </c>
      <c r="E23" s="10" t="s">
        <v>23</v>
      </c>
      <c r="F23" s="10" t="s">
        <v>19</v>
      </c>
      <c r="G23" s="10">
        <v>30000</v>
      </c>
      <c r="H23">
        <v>52</v>
      </c>
      <c r="I23" s="10">
        <v>45000</v>
      </c>
      <c r="J23" s="11">
        <f ca="1" t="shared" ref="J23:J32" si="7">RANDBETWEEN(15,20)</f>
        <v>18</v>
      </c>
      <c r="K23" s="10">
        <f ca="1" t="shared" si="2"/>
        <v>540000</v>
      </c>
      <c r="L23" s="10">
        <f ca="1" t="shared" si="3"/>
        <v>810000</v>
      </c>
      <c r="M23" t="s">
        <v>30</v>
      </c>
    </row>
    <row r="24" spans="1:13">
      <c r="A24" t="s">
        <v>71</v>
      </c>
      <c r="B24" t="s">
        <v>72</v>
      </c>
      <c r="C24" s="8">
        <f ca="1" t="shared" si="6"/>
        <v>46082</v>
      </c>
      <c r="D24" t="s">
        <v>17</v>
      </c>
      <c r="E24" s="10" t="s">
        <v>23</v>
      </c>
      <c r="F24" s="10" t="s">
        <v>36</v>
      </c>
      <c r="G24" s="10">
        <v>60000</v>
      </c>
      <c r="H24">
        <v>40</v>
      </c>
      <c r="I24" s="10">
        <v>100000</v>
      </c>
      <c r="J24" s="11">
        <f ca="1" t="shared" si="7"/>
        <v>20</v>
      </c>
      <c r="K24" s="10">
        <f ca="1" t="shared" si="2"/>
        <v>1200000</v>
      </c>
      <c r="L24" s="10">
        <f ca="1" t="shared" si="3"/>
        <v>2000000</v>
      </c>
      <c r="M24" t="s">
        <v>20</v>
      </c>
    </row>
    <row r="25" spans="1:13">
      <c r="A25" t="s">
        <v>73</v>
      </c>
      <c r="B25" t="s">
        <v>74</v>
      </c>
      <c r="C25" s="8">
        <f ca="1" t="shared" si="6"/>
        <v>46120</v>
      </c>
      <c r="D25" t="s">
        <v>17</v>
      </c>
      <c r="E25" s="10" t="s">
        <v>18</v>
      </c>
      <c r="F25" s="10" t="s">
        <v>43</v>
      </c>
      <c r="G25" s="10">
        <v>1500</v>
      </c>
      <c r="H25">
        <v>67</v>
      </c>
      <c r="I25" s="10">
        <v>3000</v>
      </c>
      <c r="J25" s="11">
        <f ca="1" t="shared" si="7"/>
        <v>20</v>
      </c>
      <c r="K25" s="10">
        <f ca="1" t="shared" si="2"/>
        <v>30000</v>
      </c>
      <c r="L25" s="10">
        <f ca="1" t="shared" si="3"/>
        <v>60000</v>
      </c>
      <c r="M25" t="s">
        <v>24</v>
      </c>
    </row>
    <row r="26" spans="1:13">
      <c r="A26" t="s">
        <v>75</v>
      </c>
      <c r="B26" t="s">
        <v>76</v>
      </c>
      <c r="C26" s="8">
        <f ca="1" t="shared" si="6"/>
        <v>46138</v>
      </c>
      <c r="D26" t="s">
        <v>17</v>
      </c>
      <c r="E26" s="10" t="s">
        <v>23</v>
      </c>
      <c r="F26" s="10" t="s">
        <v>43</v>
      </c>
      <c r="G26" s="10">
        <v>3000</v>
      </c>
      <c r="H26">
        <v>43</v>
      </c>
      <c r="I26" s="10">
        <v>6000</v>
      </c>
      <c r="J26" s="11">
        <f ca="1" t="shared" si="7"/>
        <v>15</v>
      </c>
      <c r="K26" s="10">
        <f ca="1" t="shared" si="2"/>
        <v>45000</v>
      </c>
      <c r="L26" s="10">
        <f ca="1" t="shared" si="3"/>
        <v>90000</v>
      </c>
      <c r="M26" t="s">
        <v>20</v>
      </c>
    </row>
    <row r="27" spans="1:13">
      <c r="A27" t="s">
        <v>77</v>
      </c>
      <c r="B27" t="s">
        <v>78</v>
      </c>
      <c r="C27" s="8">
        <f ca="1" t="shared" si="6"/>
        <v>46109</v>
      </c>
      <c r="D27" t="s">
        <v>17</v>
      </c>
      <c r="E27" s="10" t="s">
        <v>18</v>
      </c>
      <c r="F27" s="10" t="s">
        <v>19</v>
      </c>
      <c r="G27" s="10">
        <v>3500</v>
      </c>
      <c r="H27">
        <v>31</v>
      </c>
      <c r="I27" s="10">
        <v>8000</v>
      </c>
      <c r="J27" s="11">
        <f ca="1" t="shared" si="7"/>
        <v>18</v>
      </c>
      <c r="K27" s="10">
        <f ca="1" t="shared" si="2"/>
        <v>63000</v>
      </c>
      <c r="L27" s="10">
        <f ca="1" t="shared" si="3"/>
        <v>144000</v>
      </c>
      <c r="M27" t="s">
        <v>30</v>
      </c>
    </row>
    <row r="28" spans="1:13">
      <c r="A28" t="s">
        <v>79</v>
      </c>
      <c r="B28" t="s">
        <v>80</v>
      </c>
      <c r="C28" s="8">
        <f ca="1" t="shared" si="6"/>
        <v>46118</v>
      </c>
      <c r="D28" t="s">
        <v>17</v>
      </c>
      <c r="E28" s="10" t="s">
        <v>23</v>
      </c>
      <c r="F28" s="10" t="s">
        <v>33</v>
      </c>
      <c r="G28" s="10">
        <v>6000</v>
      </c>
      <c r="H28">
        <v>36</v>
      </c>
      <c r="I28" s="10">
        <v>12000</v>
      </c>
      <c r="J28" s="11">
        <f ca="1" t="shared" si="7"/>
        <v>19</v>
      </c>
      <c r="K28" s="10">
        <f ca="1" t="shared" si="2"/>
        <v>114000</v>
      </c>
      <c r="L28" s="10">
        <f ca="1" t="shared" si="3"/>
        <v>228000</v>
      </c>
      <c r="M28" t="s">
        <v>30</v>
      </c>
    </row>
    <row r="29" spans="1:13">
      <c r="A29" t="s">
        <v>81</v>
      </c>
      <c r="B29" t="s">
        <v>82</v>
      </c>
      <c r="C29" s="8">
        <f ca="1" t="shared" si="6"/>
        <v>46131</v>
      </c>
      <c r="D29" t="s">
        <v>17</v>
      </c>
      <c r="E29" s="10" t="s">
        <v>23</v>
      </c>
      <c r="F29" s="10" t="s">
        <v>52</v>
      </c>
      <c r="G29" s="10">
        <v>7000</v>
      </c>
      <c r="H29">
        <v>66</v>
      </c>
      <c r="I29" s="10">
        <v>15000</v>
      </c>
      <c r="J29" s="11">
        <f ca="1" t="shared" si="7"/>
        <v>19</v>
      </c>
      <c r="K29" s="10">
        <f ca="1" t="shared" si="2"/>
        <v>133000</v>
      </c>
      <c r="L29" s="10">
        <f ca="1" t="shared" si="3"/>
        <v>285000</v>
      </c>
      <c r="M29" t="s">
        <v>20</v>
      </c>
    </row>
    <row r="30" spans="1:13">
      <c r="A30" t="s">
        <v>83</v>
      </c>
      <c r="B30" t="s">
        <v>84</v>
      </c>
      <c r="C30" s="8">
        <f ca="1" t="shared" si="6"/>
        <v>46051</v>
      </c>
      <c r="D30" t="s">
        <v>17</v>
      </c>
      <c r="E30" s="10" t="s">
        <v>18</v>
      </c>
      <c r="F30" s="10" t="s">
        <v>52</v>
      </c>
      <c r="G30" s="10">
        <v>500</v>
      </c>
      <c r="H30">
        <v>51</v>
      </c>
      <c r="I30" s="10">
        <v>1000</v>
      </c>
      <c r="J30" s="11">
        <f ca="1" t="shared" si="7"/>
        <v>16</v>
      </c>
      <c r="K30" s="10">
        <f ca="1" t="shared" si="2"/>
        <v>8000</v>
      </c>
      <c r="L30" s="10">
        <f ca="1" t="shared" si="3"/>
        <v>16000</v>
      </c>
      <c r="M30" t="s">
        <v>20</v>
      </c>
    </row>
    <row r="31" spans="1:13">
      <c r="A31" t="s">
        <v>85</v>
      </c>
      <c r="B31" t="s">
        <v>86</v>
      </c>
      <c r="C31" s="8">
        <f ca="1" t="shared" si="6"/>
        <v>46034</v>
      </c>
      <c r="D31" t="s">
        <v>17</v>
      </c>
      <c r="E31" s="10" t="s">
        <v>23</v>
      </c>
      <c r="F31" s="10" t="s">
        <v>19</v>
      </c>
      <c r="G31" s="10">
        <v>500</v>
      </c>
      <c r="H31">
        <v>65</v>
      </c>
      <c r="I31" s="10">
        <v>1000</v>
      </c>
      <c r="J31" s="11">
        <f ca="1" t="shared" si="7"/>
        <v>18</v>
      </c>
      <c r="K31" s="10">
        <f ca="1" t="shared" si="2"/>
        <v>9000</v>
      </c>
      <c r="L31" s="10">
        <f ca="1" t="shared" si="3"/>
        <v>18000</v>
      </c>
      <c r="M31" t="s">
        <v>20</v>
      </c>
    </row>
    <row r="32" spans="1:13">
      <c r="A32" t="s">
        <v>87</v>
      </c>
      <c r="B32" t="s">
        <v>88</v>
      </c>
      <c r="C32" s="8">
        <f ca="1" t="shared" si="6"/>
        <v>46090</v>
      </c>
      <c r="D32" t="s">
        <v>17</v>
      </c>
      <c r="E32" s="10" t="s">
        <v>18</v>
      </c>
      <c r="F32" s="10" t="s">
        <v>19</v>
      </c>
      <c r="G32" s="10">
        <v>1500</v>
      </c>
      <c r="H32">
        <v>44</v>
      </c>
      <c r="I32" s="10">
        <v>3500</v>
      </c>
      <c r="J32" s="11">
        <f ca="1" t="shared" si="7"/>
        <v>15</v>
      </c>
      <c r="K32" s="10">
        <f ca="1" t="shared" si="2"/>
        <v>22500</v>
      </c>
      <c r="L32" s="10">
        <f ca="1" t="shared" si="3"/>
        <v>52500</v>
      </c>
      <c r="M32" t="s">
        <v>20</v>
      </c>
    </row>
    <row r="33" spans="1:13">
      <c r="A33" t="s">
        <v>89</v>
      </c>
      <c r="B33" t="s">
        <v>90</v>
      </c>
      <c r="C33" s="8">
        <f ca="1" t="shared" ref="C33:C42" si="8">RANDBETWEEN(DATE(2026,1,1),DATE(2026,4,30))</f>
        <v>46108</v>
      </c>
      <c r="D33" t="s">
        <v>17</v>
      </c>
      <c r="E33" s="10" t="s">
        <v>23</v>
      </c>
      <c r="F33" s="10" t="s">
        <v>19</v>
      </c>
      <c r="G33" s="10">
        <v>500</v>
      </c>
      <c r="H33">
        <v>48</v>
      </c>
      <c r="I33" s="10">
        <v>1500</v>
      </c>
      <c r="J33" s="11">
        <f ca="1" t="shared" ref="J33:J42" si="9">RANDBETWEEN(15,20)</f>
        <v>15</v>
      </c>
      <c r="K33" s="10">
        <f ca="1" t="shared" si="2"/>
        <v>7500</v>
      </c>
      <c r="L33" s="10">
        <f ca="1" t="shared" si="3"/>
        <v>22500</v>
      </c>
      <c r="M33" t="s">
        <v>20</v>
      </c>
    </row>
    <row r="34" spans="1:13">
      <c r="A34" t="s">
        <v>91</v>
      </c>
      <c r="B34" t="s">
        <v>92</v>
      </c>
      <c r="C34" s="8">
        <f ca="1" t="shared" si="8"/>
        <v>46104</v>
      </c>
      <c r="D34" t="s">
        <v>17</v>
      </c>
      <c r="E34" s="10" t="s">
        <v>23</v>
      </c>
      <c r="F34" s="10" t="s">
        <v>19</v>
      </c>
      <c r="G34" s="10">
        <v>20000</v>
      </c>
      <c r="H34">
        <v>63</v>
      </c>
      <c r="I34" s="10">
        <v>30000</v>
      </c>
      <c r="J34" s="11">
        <f ca="1" t="shared" si="9"/>
        <v>20</v>
      </c>
      <c r="K34" s="10">
        <f ca="1" t="shared" si="2"/>
        <v>400000</v>
      </c>
      <c r="L34" s="10">
        <f ca="1" t="shared" si="3"/>
        <v>600000</v>
      </c>
      <c r="M34" t="s">
        <v>24</v>
      </c>
    </row>
    <row r="35" spans="1:13">
      <c r="A35" t="s">
        <v>93</v>
      </c>
      <c r="B35" t="s">
        <v>94</v>
      </c>
      <c r="C35" s="8">
        <f ca="1" t="shared" si="8"/>
        <v>46025</v>
      </c>
      <c r="D35" t="s">
        <v>17</v>
      </c>
      <c r="E35" s="10" t="s">
        <v>18</v>
      </c>
      <c r="F35" s="10" t="s">
        <v>19</v>
      </c>
      <c r="G35" s="10">
        <v>60000</v>
      </c>
      <c r="H35">
        <v>68</v>
      </c>
      <c r="I35" s="10">
        <v>100000</v>
      </c>
      <c r="J35" s="11">
        <f ca="1" t="shared" si="9"/>
        <v>18</v>
      </c>
      <c r="K35" s="10">
        <f ca="1" t="shared" si="2"/>
        <v>1080000</v>
      </c>
      <c r="L35" s="10">
        <f ca="1" t="shared" si="3"/>
        <v>1800000</v>
      </c>
      <c r="M35" t="s">
        <v>24</v>
      </c>
    </row>
    <row r="36" spans="1:13">
      <c r="A36" t="s">
        <v>95</v>
      </c>
      <c r="B36" t="s">
        <v>96</v>
      </c>
      <c r="C36" s="8">
        <f ca="1" t="shared" si="8"/>
        <v>46039</v>
      </c>
      <c r="D36" t="s">
        <v>17</v>
      </c>
      <c r="E36" s="10" t="s">
        <v>23</v>
      </c>
      <c r="F36" s="10" t="s">
        <v>33</v>
      </c>
      <c r="G36" s="10">
        <v>150000</v>
      </c>
      <c r="H36">
        <v>67</v>
      </c>
      <c r="I36" s="10">
        <v>240000</v>
      </c>
      <c r="J36" s="11">
        <f ca="1" t="shared" si="9"/>
        <v>18</v>
      </c>
      <c r="K36" s="10">
        <f ca="1" t="shared" si="2"/>
        <v>2700000</v>
      </c>
      <c r="L36" s="10">
        <f ca="1" t="shared" si="3"/>
        <v>4320000</v>
      </c>
      <c r="M36" t="s">
        <v>24</v>
      </c>
    </row>
    <row r="37" spans="1:13">
      <c r="A37" t="s">
        <v>97</v>
      </c>
      <c r="B37" t="s">
        <v>98</v>
      </c>
      <c r="C37" s="8">
        <f ca="1" t="shared" si="8"/>
        <v>46066</v>
      </c>
      <c r="D37" t="s">
        <v>17</v>
      </c>
      <c r="E37" s="10" t="s">
        <v>18</v>
      </c>
      <c r="F37" s="10" t="s">
        <v>36</v>
      </c>
      <c r="G37" s="10">
        <v>80000</v>
      </c>
      <c r="H37">
        <v>46</v>
      </c>
      <c r="I37" s="10">
        <v>110000</v>
      </c>
      <c r="J37" s="11">
        <f ca="1" t="shared" si="9"/>
        <v>18</v>
      </c>
      <c r="K37" s="10">
        <f ca="1" t="shared" si="2"/>
        <v>1440000</v>
      </c>
      <c r="L37" s="10">
        <f ca="1" t="shared" si="3"/>
        <v>1980000</v>
      </c>
      <c r="M37" t="s">
        <v>30</v>
      </c>
    </row>
    <row r="38" spans="1:13">
      <c r="A38" t="s">
        <v>99</v>
      </c>
      <c r="B38" t="s">
        <v>100</v>
      </c>
      <c r="C38" s="8">
        <f ca="1" t="shared" si="8"/>
        <v>46057</v>
      </c>
      <c r="D38" t="s">
        <v>17</v>
      </c>
      <c r="E38" s="10" t="s">
        <v>23</v>
      </c>
      <c r="F38" s="10" t="s">
        <v>19</v>
      </c>
      <c r="G38" s="10">
        <v>12000</v>
      </c>
      <c r="H38">
        <v>68</v>
      </c>
      <c r="I38" s="10">
        <v>20000</v>
      </c>
      <c r="J38" s="11">
        <f ca="1" t="shared" si="9"/>
        <v>15</v>
      </c>
      <c r="K38" s="10">
        <f ca="1" t="shared" si="2"/>
        <v>180000</v>
      </c>
      <c r="L38" s="10">
        <f ca="1" t="shared" si="3"/>
        <v>300000</v>
      </c>
      <c r="M38" t="s">
        <v>30</v>
      </c>
    </row>
    <row r="39" spans="1:13">
      <c r="A39" t="s">
        <v>101</v>
      </c>
      <c r="B39" t="s">
        <v>102</v>
      </c>
      <c r="C39" s="8">
        <f ca="1" t="shared" si="8"/>
        <v>46054</v>
      </c>
      <c r="D39" t="s">
        <v>17</v>
      </c>
      <c r="E39" s="10" t="s">
        <v>23</v>
      </c>
      <c r="F39" s="10" t="s">
        <v>36</v>
      </c>
      <c r="G39" s="10">
        <v>2000</v>
      </c>
      <c r="H39">
        <v>70</v>
      </c>
      <c r="I39" s="10">
        <v>4000</v>
      </c>
      <c r="J39" s="11">
        <f ca="1" t="shared" si="9"/>
        <v>19</v>
      </c>
      <c r="K39" s="10">
        <f ca="1" t="shared" si="2"/>
        <v>38000</v>
      </c>
      <c r="L39" s="10">
        <f ca="1" t="shared" si="3"/>
        <v>76000</v>
      </c>
      <c r="M39" t="s">
        <v>30</v>
      </c>
    </row>
    <row r="40" spans="1:13">
      <c r="A40" t="s">
        <v>103</v>
      </c>
      <c r="B40" t="s">
        <v>104</v>
      </c>
      <c r="C40" s="8">
        <f ca="1" t="shared" si="8"/>
        <v>46096</v>
      </c>
      <c r="D40" t="s">
        <v>17</v>
      </c>
      <c r="E40" s="10" t="s">
        <v>18</v>
      </c>
      <c r="F40" s="10" t="s">
        <v>43</v>
      </c>
      <c r="G40" s="10">
        <v>2500</v>
      </c>
      <c r="H40">
        <v>60</v>
      </c>
      <c r="I40" s="10">
        <v>5000</v>
      </c>
      <c r="J40" s="11">
        <f ca="1" t="shared" si="9"/>
        <v>16</v>
      </c>
      <c r="K40" s="10">
        <f ca="1" t="shared" si="2"/>
        <v>40000</v>
      </c>
      <c r="L40" s="10">
        <f ca="1" t="shared" si="3"/>
        <v>80000</v>
      </c>
      <c r="M40" t="s">
        <v>30</v>
      </c>
    </row>
    <row r="41" spans="1:13">
      <c r="A41" t="s">
        <v>105</v>
      </c>
      <c r="B41" t="s">
        <v>106</v>
      </c>
      <c r="C41" s="8">
        <f ca="1" t="shared" si="8"/>
        <v>46108</v>
      </c>
      <c r="D41" t="s">
        <v>17</v>
      </c>
      <c r="E41" s="10" t="s">
        <v>23</v>
      </c>
      <c r="F41" s="10" t="s">
        <v>43</v>
      </c>
      <c r="G41" s="10">
        <v>2500</v>
      </c>
      <c r="H41">
        <v>56</v>
      </c>
      <c r="I41" s="10">
        <v>5000</v>
      </c>
      <c r="J41" s="11">
        <f ca="1" t="shared" si="9"/>
        <v>15</v>
      </c>
      <c r="K41" s="10">
        <f ca="1" t="shared" si="2"/>
        <v>37500</v>
      </c>
      <c r="L41" s="10">
        <f ca="1" t="shared" si="3"/>
        <v>75000</v>
      </c>
      <c r="M41" t="s">
        <v>30</v>
      </c>
    </row>
    <row r="42" spans="1:13">
      <c r="A42" t="s">
        <v>107</v>
      </c>
      <c r="B42" t="s">
        <v>108</v>
      </c>
      <c r="C42" s="8">
        <f ca="1" t="shared" si="8"/>
        <v>46035</v>
      </c>
      <c r="D42" t="s">
        <v>17</v>
      </c>
      <c r="E42" s="10" t="s">
        <v>18</v>
      </c>
      <c r="F42" s="10" t="s">
        <v>19</v>
      </c>
      <c r="G42" s="10">
        <v>2500</v>
      </c>
      <c r="H42">
        <v>42</v>
      </c>
      <c r="I42" s="10">
        <v>5000</v>
      </c>
      <c r="J42" s="11">
        <f ca="1" t="shared" si="9"/>
        <v>16</v>
      </c>
      <c r="K42" s="10">
        <f ca="1" t="shared" si="2"/>
        <v>40000</v>
      </c>
      <c r="L42" s="10">
        <f ca="1" t="shared" si="3"/>
        <v>80000</v>
      </c>
      <c r="M42" t="s">
        <v>20</v>
      </c>
    </row>
    <row r="43" spans="1:13">
      <c r="A43" t="s">
        <v>109</v>
      </c>
      <c r="B43" t="s">
        <v>110</v>
      </c>
      <c r="C43" s="8">
        <f ca="1" t="shared" ref="C43:C52" si="10">RANDBETWEEN(DATE(2026,1,1),DATE(2026,4,30))</f>
        <v>46110</v>
      </c>
      <c r="D43" t="s">
        <v>17</v>
      </c>
      <c r="E43" s="10" t="s">
        <v>23</v>
      </c>
      <c r="F43" s="10" t="s">
        <v>33</v>
      </c>
      <c r="G43" s="10">
        <v>1500</v>
      </c>
      <c r="H43">
        <v>64</v>
      </c>
      <c r="I43" s="10">
        <v>3500</v>
      </c>
      <c r="J43" s="11">
        <f ca="1" t="shared" ref="J43:J52" si="11">RANDBETWEEN(15,20)</f>
        <v>20</v>
      </c>
      <c r="K43" s="10">
        <f ca="1" t="shared" si="2"/>
        <v>30000</v>
      </c>
      <c r="L43" s="10">
        <f ca="1" t="shared" si="3"/>
        <v>70000</v>
      </c>
      <c r="M43" t="s">
        <v>24</v>
      </c>
    </row>
    <row r="44" spans="1:13">
      <c r="A44" t="s">
        <v>111</v>
      </c>
      <c r="B44" t="s">
        <v>112</v>
      </c>
      <c r="C44" s="8">
        <f ca="1" t="shared" si="10"/>
        <v>46080</v>
      </c>
      <c r="D44" t="s">
        <v>17</v>
      </c>
      <c r="E44" s="10" t="s">
        <v>23</v>
      </c>
      <c r="F44" s="10" t="s">
        <v>52</v>
      </c>
      <c r="G44" s="10">
        <v>2500</v>
      </c>
      <c r="H44">
        <v>44</v>
      </c>
      <c r="I44" s="10">
        <v>5000</v>
      </c>
      <c r="J44" s="11">
        <f ca="1" t="shared" si="11"/>
        <v>19</v>
      </c>
      <c r="K44" s="10">
        <f ca="1" t="shared" si="2"/>
        <v>47500</v>
      </c>
      <c r="L44" s="10">
        <f ca="1" t="shared" si="3"/>
        <v>95000</v>
      </c>
      <c r="M44" t="s">
        <v>20</v>
      </c>
    </row>
    <row r="45" spans="1:13">
      <c r="A45" t="s">
        <v>113</v>
      </c>
      <c r="B45" t="s">
        <v>114</v>
      </c>
      <c r="C45" s="8">
        <f ca="1" t="shared" si="10"/>
        <v>46085</v>
      </c>
      <c r="D45" t="s">
        <v>115</v>
      </c>
      <c r="E45" s="10" t="s">
        <v>18</v>
      </c>
      <c r="F45" s="10" t="s">
        <v>52</v>
      </c>
      <c r="G45" s="10">
        <v>600</v>
      </c>
      <c r="H45">
        <v>49</v>
      </c>
      <c r="I45" s="10">
        <v>1000</v>
      </c>
      <c r="J45" s="11">
        <f ca="1" t="shared" si="11"/>
        <v>17</v>
      </c>
      <c r="K45" s="10">
        <f ca="1" t="shared" si="2"/>
        <v>10200</v>
      </c>
      <c r="L45" s="10">
        <f ca="1" t="shared" si="3"/>
        <v>17000</v>
      </c>
      <c r="M45" t="s">
        <v>30</v>
      </c>
    </row>
    <row r="46" spans="1:13">
      <c r="A46" t="s">
        <v>116</v>
      </c>
      <c r="B46" t="s">
        <v>117</v>
      </c>
      <c r="C46" s="8">
        <f ca="1" t="shared" si="10"/>
        <v>46126</v>
      </c>
      <c r="D46" t="s">
        <v>115</v>
      </c>
      <c r="E46" s="10" t="s">
        <v>23</v>
      </c>
      <c r="F46" s="10" t="s">
        <v>19</v>
      </c>
      <c r="G46" s="10">
        <v>800</v>
      </c>
      <c r="H46">
        <v>40</v>
      </c>
      <c r="I46" s="10">
        <v>1500</v>
      </c>
      <c r="J46" s="11">
        <f ca="1" t="shared" si="11"/>
        <v>17</v>
      </c>
      <c r="K46" s="10">
        <f ca="1" t="shared" si="2"/>
        <v>13600</v>
      </c>
      <c r="L46" s="10">
        <f ca="1" t="shared" si="3"/>
        <v>25500</v>
      </c>
      <c r="M46" t="s">
        <v>20</v>
      </c>
    </row>
    <row r="47" spans="1:13">
      <c r="A47" t="s">
        <v>118</v>
      </c>
      <c r="B47" t="s">
        <v>119</v>
      </c>
      <c r="C47" s="8">
        <f ca="1" t="shared" si="10"/>
        <v>46037</v>
      </c>
      <c r="D47" t="s">
        <v>115</v>
      </c>
      <c r="E47" s="10" t="s">
        <v>18</v>
      </c>
      <c r="F47" s="10" t="s">
        <v>19</v>
      </c>
      <c r="G47" s="10">
        <v>800</v>
      </c>
      <c r="H47">
        <v>51</v>
      </c>
      <c r="I47" s="10">
        <v>1500</v>
      </c>
      <c r="J47" s="11">
        <f ca="1" t="shared" si="11"/>
        <v>20</v>
      </c>
      <c r="K47" s="10">
        <f ca="1" t="shared" si="2"/>
        <v>16000</v>
      </c>
      <c r="L47" s="10">
        <f ca="1" t="shared" si="3"/>
        <v>30000</v>
      </c>
      <c r="M47" t="s">
        <v>24</v>
      </c>
    </row>
    <row r="48" spans="1:13">
      <c r="A48" t="s">
        <v>120</v>
      </c>
      <c r="B48" t="s">
        <v>121</v>
      </c>
      <c r="C48" s="8">
        <f ca="1" t="shared" si="10"/>
        <v>46124</v>
      </c>
      <c r="D48" t="s">
        <v>115</v>
      </c>
      <c r="E48" s="10" t="s">
        <v>23</v>
      </c>
      <c r="F48" s="10" t="s">
        <v>19</v>
      </c>
      <c r="G48" s="10">
        <v>2500</v>
      </c>
      <c r="H48">
        <v>44</v>
      </c>
      <c r="I48" s="10">
        <v>5000</v>
      </c>
      <c r="J48" s="11">
        <f ca="1" t="shared" si="11"/>
        <v>15</v>
      </c>
      <c r="K48" s="10">
        <f ca="1" t="shared" si="2"/>
        <v>37500</v>
      </c>
      <c r="L48" s="10">
        <f ca="1" t="shared" si="3"/>
        <v>75000</v>
      </c>
      <c r="M48" t="s">
        <v>20</v>
      </c>
    </row>
    <row r="49" spans="1:13">
      <c r="A49" t="s">
        <v>122</v>
      </c>
      <c r="B49" t="s">
        <v>123</v>
      </c>
      <c r="C49" s="8">
        <f ca="1" t="shared" si="10"/>
        <v>46052</v>
      </c>
      <c r="D49" t="s">
        <v>115</v>
      </c>
      <c r="E49" s="10" t="s">
        <v>23</v>
      </c>
      <c r="F49" s="10" t="s">
        <v>19</v>
      </c>
      <c r="G49" s="10">
        <v>500</v>
      </c>
      <c r="H49">
        <v>33</v>
      </c>
      <c r="I49" s="10">
        <v>1000</v>
      </c>
      <c r="J49" s="11">
        <f ca="1" t="shared" si="11"/>
        <v>18</v>
      </c>
      <c r="K49" s="10">
        <f ca="1" t="shared" si="2"/>
        <v>9000</v>
      </c>
      <c r="L49" s="10">
        <f ca="1" t="shared" si="3"/>
        <v>18000</v>
      </c>
      <c r="M49" t="s">
        <v>30</v>
      </c>
    </row>
    <row r="50" spans="1:13">
      <c r="A50" t="s">
        <v>124</v>
      </c>
      <c r="B50" t="s">
        <v>125</v>
      </c>
      <c r="C50" s="8">
        <f ca="1" t="shared" si="10"/>
        <v>46125</v>
      </c>
      <c r="D50" t="s">
        <v>115</v>
      </c>
      <c r="E50" s="10" t="s">
        <v>18</v>
      </c>
      <c r="F50" s="10" t="s">
        <v>19</v>
      </c>
      <c r="G50" s="10">
        <v>1500</v>
      </c>
      <c r="H50">
        <v>47</v>
      </c>
      <c r="I50" s="10">
        <v>2500</v>
      </c>
      <c r="J50" s="11">
        <f ca="1" t="shared" si="11"/>
        <v>15</v>
      </c>
      <c r="K50" s="10">
        <f ca="1" t="shared" si="2"/>
        <v>22500</v>
      </c>
      <c r="L50" s="10">
        <f ca="1" t="shared" si="3"/>
        <v>37500</v>
      </c>
      <c r="M50" t="s">
        <v>30</v>
      </c>
    </row>
    <row r="51" spans="1:13">
      <c r="A51" t="s">
        <v>126</v>
      </c>
      <c r="B51" t="s">
        <v>127</v>
      </c>
      <c r="C51" s="8">
        <f ca="1" t="shared" si="10"/>
        <v>46142</v>
      </c>
      <c r="D51" t="s">
        <v>115</v>
      </c>
      <c r="E51" s="10" t="s">
        <v>23</v>
      </c>
      <c r="F51" s="10" t="s">
        <v>33</v>
      </c>
      <c r="G51" s="10">
        <v>200</v>
      </c>
      <c r="H51">
        <v>45</v>
      </c>
      <c r="I51" s="10">
        <v>500</v>
      </c>
      <c r="J51" s="11">
        <f ca="1" t="shared" si="11"/>
        <v>17</v>
      </c>
      <c r="K51" s="10">
        <f ca="1" t="shared" si="2"/>
        <v>3400</v>
      </c>
      <c r="L51" s="10">
        <f ca="1" t="shared" si="3"/>
        <v>8500</v>
      </c>
      <c r="M51" t="s">
        <v>20</v>
      </c>
    </row>
    <row r="52" spans="1:13">
      <c r="A52" t="s">
        <v>128</v>
      </c>
      <c r="B52" t="s">
        <v>129</v>
      </c>
      <c r="C52" s="8">
        <f ca="1" t="shared" si="10"/>
        <v>46115</v>
      </c>
      <c r="D52" t="s">
        <v>115</v>
      </c>
      <c r="E52" s="10" t="s">
        <v>18</v>
      </c>
      <c r="F52" s="10" t="s">
        <v>36</v>
      </c>
      <c r="G52" s="10">
        <v>200</v>
      </c>
      <c r="H52">
        <v>41</v>
      </c>
      <c r="I52" s="10">
        <v>500</v>
      </c>
      <c r="J52" s="11">
        <f ca="1" t="shared" si="11"/>
        <v>16</v>
      </c>
      <c r="K52" s="10">
        <f ca="1" t="shared" si="2"/>
        <v>3200</v>
      </c>
      <c r="L52" s="10">
        <f ca="1" t="shared" si="3"/>
        <v>8000</v>
      </c>
      <c r="M52" t="s">
        <v>20</v>
      </c>
    </row>
    <row r="53" spans="1:13">
      <c r="A53" t="s">
        <v>130</v>
      </c>
      <c r="B53" t="s">
        <v>131</v>
      </c>
      <c r="C53" s="8">
        <f ca="1" t="shared" ref="C53:C62" si="12">RANDBETWEEN(DATE(2026,1,1),DATE(2026,4,30))</f>
        <v>46048</v>
      </c>
      <c r="D53" t="s">
        <v>115</v>
      </c>
      <c r="E53" s="10" t="s">
        <v>23</v>
      </c>
      <c r="F53" s="10" t="s">
        <v>19</v>
      </c>
      <c r="G53" s="10">
        <v>700</v>
      </c>
      <c r="H53">
        <v>40</v>
      </c>
      <c r="I53" s="10">
        <v>2000</v>
      </c>
      <c r="J53" s="11">
        <f ca="1" t="shared" ref="J53:J62" si="13">RANDBETWEEN(15,20)</f>
        <v>16</v>
      </c>
      <c r="K53" s="10">
        <f ca="1" t="shared" si="2"/>
        <v>11200</v>
      </c>
      <c r="L53" s="10">
        <f ca="1" t="shared" si="3"/>
        <v>32000</v>
      </c>
      <c r="M53" t="s">
        <v>20</v>
      </c>
    </row>
    <row r="54" spans="1:13">
      <c r="A54" t="s">
        <v>132</v>
      </c>
      <c r="B54" t="s">
        <v>133</v>
      </c>
      <c r="C54" s="8">
        <f ca="1" t="shared" si="12"/>
        <v>46032</v>
      </c>
      <c r="D54" t="s">
        <v>115</v>
      </c>
      <c r="E54" s="10" t="s">
        <v>23</v>
      </c>
      <c r="F54" s="10" t="s">
        <v>36</v>
      </c>
      <c r="G54" s="10">
        <v>700</v>
      </c>
      <c r="H54">
        <v>33</v>
      </c>
      <c r="I54" s="10">
        <v>1000</v>
      </c>
      <c r="J54" s="11">
        <f ca="1" t="shared" si="13"/>
        <v>19</v>
      </c>
      <c r="K54" s="10">
        <f ca="1" t="shared" si="2"/>
        <v>13300</v>
      </c>
      <c r="L54" s="10">
        <f ca="1" t="shared" si="3"/>
        <v>19000</v>
      </c>
      <c r="M54" t="s">
        <v>20</v>
      </c>
    </row>
    <row r="55" spans="1:13">
      <c r="A55" t="s">
        <v>134</v>
      </c>
      <c r="B55" t="s">
        <v>135</v>
      </c>
      <c r="C55" s="8">
        <f ca="1" t="shared" si="12"/>
        <v>46114</v>
      </c>
      <c r="D55" t="s">
        <v>115</v>
      </c>
      <c r="E55" s="10" t="s">
        <v>18</v>
      </c>
      <c r="F55" s="10" t="s">
        <v>43</v>
      </c>
      <c r="G55" s="10">
        <v>1000</v>
      </c>
      <c r="H55">
        <v>44</v>
      </c>
      <c r="I55" s="10">
        <v>3000</v>
      </c>
      <c r="J55" s="11">
        <f ca="1" t="shared" si="13"/>
        <v>19</v>
      </c>
      <c r="K55" s="10">
        <f ca="1" t="shared" si="2"/>
        <v>19000</v>
      </c>
      <c r="L55" s="10">
        <f ca="1" t="shared" si="3"/>
        <v>57000</v>
      </c>
      <c r="M55" t="s">
        <v>20</v>
      </c>
    </row>
    <row r="56" spans="1:13">
      <c r="A56" t="s">
        <v>136</v>
      </c>
      <c r="B56" t="s">
        <v>137</v>
      </c>
      <c r="C56" s="8">
        <f ca="1" t="shared" si="12"/>
        <v>46136</v>
      </c>
      <c r="D56" t="s">
        <v>115</v>
      </c>
      <c r="E56" s="10" t="s">
        <v>23</v>
      </c>
      <c r="F56" s="10" t="s">
        <v>43</v>
      </c>
      <c r="G56" s="10">
        <v>7000</v>
      </c>
      <c r="H56">
        <v>57</v>
      </c>
      <c r="I56" s="10">
        <v>12000</v>
      </c>
      <c r="J56" s="11">
        <f ca="1" t="shared" si="13"/>
        <v>20</v>
      </c>
      <c r="K56" s="10">
        <f ca="1" t="shared" si="2"/>
        <v>140000</v>
      </c>
      <c r="L56" s="10">
        <f ca="1" t="shared" si="3"/>
        <v>240000</v>
      </c>
      <c r="M56" t="s">
        <v>24</v>
      </c>
    </row>
    <row r="57" spans="1:13">
      <c r="A57" t="s">
        <v>138</v>
      </c>
      <c r="B57" t="s">
        <v>139</v>
      </c>
      <c r="C57" s="8">
        <f ca="1" t="shared" si="12"/>
        <v>46126</v>
      </c>
      <c r="D57" t="s">
        <v>115</v>
      </c>
      <c r="E57" s="10" t="s">
        <v>18</v>
      </c>
      <c r="F57" s="10" t="s">
        <v>19</v>
      </c>
      <c r="G57" s="10">
        <v>7000</v>
      </c>
      <c r="H57">
        <v>36</v>
      </c>
      <c r="I57" s="10">
        <v>12000</v>
      </c>
      <c r="J57" s="11">
        <f ca="1" t="shared" si="13"/>
        <v>19</v>
      </c>
      <c r="K57" s="10">
        <f ca="1" t="shared" si="2"/>
        <v>133000</v>
      </c>
      <c r="L57" s="10">
        <f ca="1" t="shared" si="3"/>
        <v>228000</v>
      </c>
      <c r="M57" t="s">
        <v>24</v>
      </c>
    </row>
    <row r="58" spans="1:13">
      <c r="A58" t="s">
        <v>140</v>
      </c>
      <c r="B58" t="s">
        <v>141</v>
      </c>
      <c r="C58" s="8">
        <f ca="1" t="shared" si="12"/>
        <v>46060</v>
      </c>
      <c r="D58" t="s">
        <v>115</v>
      </c>
      <c r="E58" s="10" t="s">
        <v>23</v>
      </c>
      <c r="F58" s="10" t="s">
        <v>33</v>
      </c>
      <c r="G58" s="10">
        <v>2000</v>
      </c>
      <c r="H58">
        <v>34</v>
      </c>
      <c r="I58" s="10">
        <v>7000</v>
      </c>
      <c r="J58" s="11">
        <f ca="1" t="shared" si="13"/>
        <v>19</v>
      </c>
      <c r="K58" s="10">
        <f ca="1" t="shared" si="2"/>
        <v>38000</v>
      </c>
      <c r="L58" s="10">
        <f ca="1" t="shared" si="3"/>
        <v>133000</v>
      </c>
      <c r="M58" t="s">
        <v>24</v>
      </c>
    </row>
    <row r="59" spans="1:13">
      <c r="A59" t="s">
        <v>142</v>
      </c>
      <c r="B59" t="s">
        <v>143</v>
      </c>
      <c r="C59" s="8">
        <f ca="1" t="shared" si="12"/>
        <v>46113</v>
      </c>
      <c r="D59" t="s">
        <v>115</v>
      </c>
      <c r="E59" s="10" t="s">
        <v>23</v>
      </c>
      <c r="F59" s="10" t="s">
        <v>52</v>
      </c>
      <c r="G59" s="10">
        <v>4000</v>
      </c>
      <c r="H59">
        <v>35</v>
      </c>
      <c r="I59" s="10">
        <v>8000</v>
      </c>
      <c r="J59" s="11">
        <f ca="1" t="shared" si="13"/>
        <v>20</v>
      </c>
      <c r="K59" s="10">
        <f ca="1" t="shared" si="2"/>
        <v>80000</v>
      </c>
      <c r="L59" s="10">
        <f ca="1" t="shared" si="3"/>
        <v>160000</v>
      </c>
      <c r="M59" t="s">
        <v>30</v>
      </c>
    </row>
    <row r="60" spans="1:13">
      <c r="A60" t="s">
        <v>144</v>
      </c>
      <c r="B60" t="s">
        <v>145</v>
      </c>
      <c r="C60" s="8">
        <f ca="1" t="shared" si="12"/>
        <v>46051</v>
      </c>
      <c r="D60" t="s">
        <v>115</v>
      </c>
      <c r="E60" s="10" t="s">
        <v>18</v>
      </c>
      <c r="F60" s="10" t="s">
        <v>52</v>
      </c>
      <c r="G60" s="10">
        <v>6000</v>
      </c>
      <c r="H60">
        <v>36</v>
      </c>
      <c r="I60" s="10">
        <v>12000</v>
      </c>
      <c r="J60" s="11">
        <f ca="1" t="shared" si="13"/>
        <v>17</v>
      </c>
      <c r="K60" s="10">
        <f ca="1" t="shared" si="2"/>
        <v>102000</v>
      </c>
      <c r="L60" s="10">
        <f ca="1" t="shared" si="3"/>
        <v>204000</v>
      </c>
      <c r="M60" t="s">
        <v>30</v>
      </c>
    </row>
    <row r="61" spans="1:13">
      <c r="A61" t="s">
        <v>146</v>
      </c>
      <c r="B61" t="s">
        <v>147</v>
      </c>
      <c r="C61" s="8">
        <f ca="1" t="shared" si="12"/>
        <v>46092</v>
      </c>
      <c r="D61" t="s">
        <v>115</v>
      </c>
      <c r="E61" s="10" t="s">
        <v>23</v>
      </c>
      <c r="F61" s="10" t="s">
        <v>19</v>
      </c>
      <c r="G61" s="10">
        <v>6000</v>
      </c>
      <c r="H61">
        <v>65</v>
      </c>
      <c r="I61" s="10">
        <v>12000</v>
      </c>
      <c r="J61" s="11">
        <f ca="1" t="shared" si="13"/>
        <v>17</v>
      </c>
      <c r="K61" s="10">
        <f ca="1" t="shared" si="2"/>
        <v>102000</v>
      </c>
      <c r="L61" s="10">
        <f ca="1" t="shared" si="3"/>
        <v>204000</v>
      </c>
      <c r="M61" t="s">
        <v>30</v>
      </c>
    </row>
    <row r="62" spans="1:13">
      <c r="A62" t="s">
        <v>148</v>
      </c>
      <c r="B62" t="s">
        <v>149</v>
      </c>
      <c r="C62" s="8">
        <f ca="1" t="shared" si="12"/>
        <v>46134</v>
      </c>
      <c r="D62" t="s">
        <v>150</v>
      </c>
      <c r="E62" s="10" t="s">
        <v>18</v>
      </c>
      <c r="F62" s="10" t="s">
        <v>19</v>
      </c>
      <c r="G62" s="10">
        <v>500</v>
      </c>
      <c r="H62">
        <v>62</v>
      </c>
      <c r="I62" s="10">
        <v>1000</v>
      </c>
      <c r="J62" s="11">
        <f ca="1" t="shared" si="13"/>
        <v>16</v>
      </c>
      <c r="K62" s="10">
        <f ca="1" t="shared" si="2"/>
        <v>8000</v>
      </c>
      <c r="L62" s="10">
        <f ca="1" t="shared" si="3"/>
        <v>16000</v>
      </c>
      <c r="M62" t="s">
        <v>30</v>
      </c>
    </row>
    <row r="63" spans="1:13">
      <c r="A63" t="s">
        <v>151</v>
      </c>
      <c r="B63" t="s">
        <v>152</v>
      </c>
      <c r="C63" s="8">
        <f ca="1" t="shared" ref="C63:C72" si="14">RANDBETWEEN(DATE(2026,1,1),DATE(2026,4,30))</f>
        <v>46101</v>
      </c>
      <c r="D63" t="s">
        <v>153</v>
      </c>
      <c r="E63" s="10" t="s">
        <v>23</v>
      </c>
      <c r="F63" s="10" t="s">
        <v>19</v>
      </c>
      <c r="G63" s="10">
        <v>250</v>
      </c>
      <c r="H63">
        <v>69</v>
      </c>
      <c r="I63" s="10">
        <v>500</v>
      </c>
      <c r="J63" s="11">
        <f ca="1" t="shared" ref="J63:J72" si="15">RANDBETWEEN(15,20)</f>
        <v>17</v>
      </c>
      <c r="K63" s="10">
        <f ca="1" t="shared" si="2"/>
        <v>4250</v>
      </c>
      <c r="L63" s="10">
        <f ca="1" t="shared" si="3"/>
        <v>8500</v>
      </c>
      <c r="M63" t="s">
        <v>30</v>
      </c>
    </row>
    <row r="64" spans="1:13">
      <c r="A64" t="s">
        <v>154</v>
      </c>
      <c r="B64" t="s">
        <v>155</v>
      </c>
      <c r="C64" s="8">
        <f ca="1" t="shared" si="14"/>
        <v>46139</v>
      </c>
      <c r="D64" t="s">
        <v>153</v>
      </c>
      <c r="E64" s="10" t="s">
        <v>23</v>
      </c>
      <c r="F64" s="10" t="s">
        <v>19</v>
      </c>
      <c r="G64" s="10">
        <v>250</v>
      </c>
      <c r="H64">
        <v>41</v>
      </c>
      <c r="I64" s="10">
        <v>500</v>
      </c>
      <c r="J64" s="11">
        <f ca="1" t="shared" si="15"/>
        <v>20</v>
      </c>
      <c r="K64" s="10">
        <f ca="1" t="shared" si="2"/>
        <v>5000</v>
      </c>
      <c r="L64" s="10">
        <f ca="1" t="shared" si="3"/>
        <v>10000</v>
      </c>
      <c r="M64" t="s">
        <v>20</v>
      </c>
    </row>
    <row r="65" spans="1:13">
      <c r="A65" t="s">
        <v>156</v>
      </c>
      <c r="B65" t="s">
        <v>157</v>
      </c>
      <c r="C65" s="8">
        <f ca="1" t="shared" si="14"/>
        <v>46047</v>
      </c>
      <c r="D65" t="s">
        <v>153</v>
      </c>
      <c r="E65" s="10" t="s">
        <v>18</v>
      </c>
      <c r="F65" s="10" t="s">
        <v>19</v>
      </c>
      <c r="G65" s="10">
        <v>250</v>
      </c>
      <c r="H65">
        <v>66</v>
      </c>
      <c r="I65" s="10">
        <v>500</v>
      </c>
      <c r="J65" s="11">
        <f ca="1" t="shared" si="15"/>
        <v>20</v>
      </c>
      <c r="K65" s="10">
        <f ca="1" t="shared" si="2"/>
        <v>5000</v>
      </c>
      <c r="L65" s="10">
        <f ca="1" t="shared" si="3"/>
        <v>10000</v>
      </c>
      <c r="M65" t="s">
        <v>24</v>
      </c>
    </row>
    <row r="66" spans="1:13">
      <c r="A66" t="s">
        <v>158</v>
      </c>
      <c r="B66" t="s">
        <v>159</v>
      </c>
      <c r="C66" s="8">
        <f ca="1" t="shared" si="14"/>
        <v>46023</v>
      </c>
      <c r="D66" t="s">
        <v>153</v>
      </c>
      <c r="E66" s="10" t="s">
        <v>23</v>
      </c>
      <c r="F66" s="10" t="s">
        <v>33</v>
      </c>
      <c r="G66" s="10">
        <v>1000</v>
      </c>
      <c r="H66">
        <v>32</v>
      </c>
      <c r="I66" s="10">
        <v>1500</v>
      </c>
      <c r="J66" s="11">
        <f ca="1" t="shared" si="15"/>
        <v>15</v>
      </c>
      <c r="K66" s="10">
        <f ca="1" t="shared" si="2"/>
        <v>15000</v>
      </c>
      <c r="L66" s="10">
        <f ca="1" t="shared" si="3"/>
        <v>22500</v>
      </c>
      <c r="M66" t="s">
        <v>20</v>
      </c>
    </row>
    <row r="67" spans="1:13">
      <c r="A67" t="s">
        <v>160</v>
      </c>
      <c r="B67" t="s">
        <v>161</v>
      </c>
      <c r="C67" s="8">
        <f ca="1" t="shared" si="14"/>
        <v>46063</v>
      </c>
      <c r="D67" t="s">
        <v>153</v>
      </c>
      <c r="E67" s="10" t="s">
        <v>18</v>
      </c>
      <c r="F67" s="10" t="s">
        <v>36</v>
      </c>
      <c r="G67" s="10">
        <v>1000</v>
      </c>
      <c r="H67">
        <v>53</v>
      </c>
      <c r="I67" s="10">
        <v>1500</v>
      </c>
      <c r="J67" s="11">
        <f ca="1" t="shared" si="15"/>
        <v>20</v>
      </c>
      <c r="K67" s="10">
        <f ca="1" t="shared" ref="K67:K130" si="16">G67*J67</f>
        <v>20000</v>
      </c>
      <c r="L67" s="10">
        <f ca="1" t="shared" ref="L67:L130" si="17">I67*J67</f>
        <v>30000</v>
      </c>
      <c r="M67" t="s">
        <v>30</v>
      </c>
    </row>
    <row r="68" spans="1:13">
      <c r="A68" t="s">
        <v>162</v>
      </c>
      <c r="B68" t="s">
        <v>163</v>
      </c>
      <c r="C68" s="8">
        <f ca="1" t="shared" si="14"/>
        <v>46049</v>
      </c>
      <c r="D68" t="s">
        <v>153</v>
      </c>
      <c r="E68" s="10" t="s">
        <v>23</v>
      </c>
      <c r="F68" s="10" t="s">
        <v>19</v>
      </c>
      <c r="G68" s="10">
        <v>1000</v>
      </c>
      <c r="H68">
        <v>61</v>
      </c>
      <c r="I68" s="10">
        <v>1500</v>
      </c>
      <c r="J68" s="11">
        <f ca="1" t="shared" si="15"/>
        <v>17</v>
      </c>
      <c r="K68" s="10">
        <f ca="1" t="shared" si="16"/>
        <v>17000</v>
      </c>
      <c r="L68" s="10">
        <f ca="1" t="shared" si="17"/>
        <v>25500</v>
      </c>
      <c r="M68" t="s">
        <v>20</v>
      </c>
    </row>
    <row r="69" spans="1:13">
      <c r="A69" t="s">
        <v>164</v>
      </c>
      <c r="B69" t="s">
        <v>165</v>
      </c>
      <c r="C69" s="8">
        <f ca="1" t="shared" si="14"/>
        <v>46028</v>
      </c>
      <c r="D69" t="s">
        <v>153</v>
      </c>
      <c r="E69" s="10" t="s">
        <v>23</v>
      </c>
      <c r="F69" s="10" t="s">
        <v>36</v>
      </c>
      <c r="G69" s="10">
        <v>1000</v>
      </c>
      <c r="H69">
        <v>36</v>
      </c>
      <c r="I69" s="10">
        <v>1500</v>
      </c>
      <c r="J69" s="11">
        <f ca="1" t="shared" si="15"/>
        <v>18</v>
      </c>
      <c r="K69" s="10">
        <f ca="1" t="shared" si="16"/>
        <v>18000</v>
      </c>
      <c r="L69" s="10">
        <f ca="1" t="shared" si="17"/>
        <v>27000</v>
      </c>
      <c r="M69" t="s">
        <v>24</v>
      </c>
    </row>
    <row r="70" spans="1:13">
      <c r="A70" t="s">
        <v>166</v>
      </c>
      <c r="B70" t="s">
        <v>167</v>
      </c>
      <c r="C70" s="8">
        <f ca="1" t="shared" si="14"/>
        <v>46071</v>
      </c>
      <c r="D70" t="s">
        <v>153</v>
      </c>
      <c r="E70" s="10" t="s">
        <v>18</v>
      </c>
      <c r="F70" s="10" t="s">
        <v>43</v>
      </c>
      <c r="G70" s="10">
        <v>1000</v>
      </c>
      <c r="H70">
        <v>56</v>
      </c>
      <c r="I70" s="10">
        <v>1500</v>
      </c>
      <c r="J70" s="11">
        <f ca="1" t="shared" si="15"/>
        <v>20</v>
      </c>
      <c r="K70" s="10">
        <f ca="1" t="shared" si="16"/>
        <v>20000</v>
      </c>
      <c r="L70" s="10">
        <f ca="1" t="shared" si="17"/>
        <v>30000</v>
      </c>
      <c r="M70" t="s">
        <v>20</v>
      </c>
    </row>
    <row r="71" spans="1:13">
      <c r="A71" t="s">
        <v>168</v>
      </c>
      <c r="B71" t="s">
        <v>169</v>
      </c>
      <c r="C71" s="8">
        <f ca="1" t="shared" si="14"/>
        <v>46129</v>
      </c>
      <c r="D71" t="s">
        <v>153</v>
      </c>
      <c r="E71" s="10" t="s">
        <v>23</v>
      </c>
      <c r="F71" s="10" t="s">
        <v>43</v>
      </c>
      <c r="G71" s="10">
        <v>700</v>
      </c>
      <c r="H71">
        <v>63</v>
      </c>
      <c r="I71" s="10">
        <v>1000</v>
      </c>
      <c r="J71" s="11">
        <f ca="1" t="shared" si="15"/>
        <v>20</v>
      </c>
      <c r="K71" s="10">
        <f ca="1" t="shared" si="16"/>
        <v>14000</v>
      </c>
      <c r="L71" s="10">
        <f ca="1" t="shared" si="17"/>
        <v>20000</v>
      </c>
      <c r="M71" t="s">
        <v>30</v>
      </c>
    </row>
    <row r="72" spans="1:13">
      <c r="A72" t="s">
        <v>170</v>
      </c>
      <c r="B72" t="s">
        <v>171</v>
      </c>
      <c r="C72" s="8">
        <f ca="1" t="shared" si="14"/>
        <v>46140</v>
      </c>
      <c r="D72" t="s">
        <v>153</v>
      </c>
      <c r="E72" s="10" t="s">
        <v>18</v>
      </c>
      <c r="F72" s="10" t="s">
        <v>19</v>
      </c>
      <c r="G72" s="10">
        <v>1200</v>
      </c>
      <c r="H72">
        <v>59</v>
      </c>
      <c r="I72" s="10">
        <v>1500</v>
      </c>
      <c r="J72" s="11">
        <f ca="1" t="shared" si="15"/>
        <v>17</v>
      </c>
      <c r="K72" s="10">
        <f ca="1" t="shared" si="16"/>
        <v>20400</v>
      </c>
      <c r="L72" s="10">
        <f ca="1" t="shared" si="17"/>
        <v>25500</v>
      </c>
      <c r="M72" t="s">
        <v>30</v>
      </c>
    </row>
    <row r="73" spans="1:13">
      <c r="A73" t="s">
        <v>172</v>
      </c>
      <c r="B73" t="s">
        <v>173</v>
      </c>
      <c r="C73" s="8">
        <f ca="1" t="shared" ref="C73:C82" si="18">RANDBETWEEN(DATE(2026,1,1),DATE(2026,4,30))</f>
        <v>46061</v>
      </c>
      <c r="D73" t="s">
        <v>153</v>
      </c>
      <c r="E73" s="10" t="s">
        <v>23</v>
      </c>
      <c r="F73" s="10" t="s">
        <v>33</v>
      </c>
      <c r="G73" s="10">
        <v>4000</v>
      </c>
      <c r="H73">
        <v>59</v>
      </c>
      <c r="I73" s="10">
        <v>8000</v>
      </c>
      <c r="J73" s="11">
        <f ca="1" t="shared" ref="J73:J82" si="19">RANDBETWEEN(15,20)</f>
        <v>16</v>
      </c>
      <c r="K73" s="10">
        <f ca="1" t="shared" si="16"/>
        <v>64000</v>
      </c>
      <c r="L73" s="10">
        <f ca="1" t="shared" si="17"/>
        <v>128000</v>
      </c>
      <c r="M73" t="s">
        <v>20</v>
      </c>
    </row>
    <row r="74" spans="1:13">
      <c r="A74" t="s">
        <v>174</v>
      </c>
      <c r="B74" t="s">
        <v>175</v>
      </c>
      <c r="C74" s="8">
        <f ca="1" t="shared" si="18"/>
        <v>46123</v>
      </c>
      <c r="D74" t="s">
        <v>153</v>
      </c>
      <c r="E74" s="10" t="s">
        <v>23</v>
      </c>
      <c r="F74" s="10" t="s">
        <v>52</v>
      </c>
      <c r="G74" s="10">
        <v>1000</v>
      </c>
      <c r="H74">
        <v>45</v>
      </c>
      <c r="I74" s="10">
        <v>2000</v>
      </c>
      <c r="J74" s="11">
        <f ca="1" t="shared" si="19"/>
        <v>20</v>
      </c>
      <c r="K74" s="10">
        <f ca="1" t="shared" si="16"/>
        <v>20000</v>
      </c>
      <c r="L74" s="10">
        <f ca="1" t="shared" si="17"/>
        <v>40000</v>
      </c>
      <c r="M74" t="s">
        <v>20</v>
      </c>
    </row>
    <row r="75" spans="1:13">
      <c r="A75" t="s">
        <v>176</v>
      </c>
      <c r="B75" t="s">
        <v>177</v>
      </c>
      <c r="C75" s="8">
        <f ca="1" t="shared" si="18"/>
        <v>46093</v>
      </c>
      <c r="D75" t="s">
        <v>153</v>
      </c>
      <c r="E75" s="10" t="s">
        <v>18</v>
      </c>
      <c r="F75" s="10" t="s">
        <v>52</v>
      </c>
      <c r="G75" s="10">
        <v>2500</v>
      </c>
      <c r="H75">
        <v>32</v>
      </c>
      <c r="I75" s="10">
        <v>4000</v>
      </c>
      <c r="J75" s="11">
        <f ca="1" t="shared" si="19"/>
        <v>20</v>
      </c>
      <c r="K75" s="10">
        <f ca="1" t="shared" si="16"/>
        <v>50000</v>
      </c>
      <c r="L75" s="10">
        <f ca="1" t="shared" si="17"/>
        <v>80000</v>
      </c>
      <c r="M75" t="s">
        <v>20</v>
      </c>
    </row>
    <row r="76" spans="1:13">
      <c r="A76" t="s">
        <v>178</v>
      </c>
      <c r="B76" t="s">
        <v>179</v>
      </c>
      <c r="C76" s="8">
        <f ca="1" t="shared" si="18"/>
        <v>46124</v>
      </c>
      <c r="D76" t="s">
        <v>153</v>
      </c>
      <c r="E76" s="10" t="s">
        <v>23</v>
      </c>
      <c r="F76" s="10" t="s">
        <v>19</v>
      </c>
      <c r="G76" s="10">
        <v>6000</v>
      </c>
      <c r="H76">
        <v>43</v>
      </c>
      <c r="I76" s="10">
        <v>9000</v>
      </c>
      <c r="J76" s="11">
        <f ca="1" t="shared" si="19"/>
        <v>17</v>
      </c>
      <c r="K76" s="10">
        <f ca="1" t="shared" si="16"/>
        <v>102000</v>
      </c>
      <c r="L76" s="10">
        <f ca="1" t="shared" si="17"/>
        <v>153000</v>
      </c>
      <c r="M76" t="s">
        <v>20</v>
      </c>
    </row>
    <row r="77" spans="1:13">
      <c r="A77" t="s">
        <v>180</v>
      </c>
      <c r="B77" t="s">
        <v>181</v>
      </c>
      <c r="C77" s="8">
        <f ca="1" t="shared" si="18"/>
        <v>46099</v>
      </c>
      <c r="D77" t="s">
        <v>153</v>
      </c>
      <c r="E77" s="10" t="s">
        <v>18</v>
      </c>
      <c r="F77" s="10" t="s">
        <v>19</v>
      </c>
      <c r="G77" s="10">
        <v>8000</v>
      </c>
      <c r="H77">
        <v>60</v>
      </c>
      <c r="I77" s="10">
        <v>12000</v>
      </c>
      <c r="J77" s="11">
        <f ca="1" t="shared" si="19"/>
        <v>18</v>
      </c>
      <c r="K77" s="10">
        <f ca="1" t="shared" si="16"/>
        <v>144000</v>
      </c>
      <c r="L77" s="10">
        <f ca="1" t="shared" si="17"/>
        <v>216000</v>
      </c>
      <c r="M77" t="s">
        <v>20</v>
      </c>
    </row>
    <row r="78" spans="1:13">
      <c r="A78" t="s">
        <v>182</v>
      </c>
      <c r="B78" t="s">
        <v>183</v>
      </c>
      <c r="C78" s="8">
        <f ca="1" t="shared" si="18"/>
        <v>46110</v>
      </c>
      <c r="D78" t="s">
        <v>153</v>
      </c>
      <c r="E78" s="10" t="s">
        <v>23</v>
      </c>
      <c r="F78" s="10" t="s">
        <v>19</v>
      </c>
      <c r="G78" s="10">
        <v>8000</v>
      </c>
      <c r="H78">
        <v>40</v>
      </c>
      <c r="I78" s="10">
        <v>12000</v>
      </c>
      <c r="J78" s="11">
        <f ca="1" t="shared" si="19"/>
        <v>18</v>
      </c>
      <c r="K78" s="10">
        <f ca="1" t="shared" si="16"/>
        <v>144000</v>
      </c>
      <c r="L78" s="10">
        <f ca="1" t="shared" si="17"/>
        <v>216000</v>
      </c>
      <c r="M78" t="s">
        <v>24</v>
      </c>
    </row>
    <row r="79" spans="1:13">
      <c r="A79" t="s">
        <v>184</v>
      </c>
      <c r="B79" t="s">
        <v>185</v>
      </c>
      <c r="C79" s="8">
        <f ca="1" t="shared" si="18"/>
        <v>46079</v>
      </c>
      <c r="D79" t="s">
        <v>153</v>
      </c>
      <c r="E79" s="10" t="s">
        <v>23</v>
      </c>
      <c r="F79" s="10" t="s">
        <v>19</v>
      </c>
      <c r="G79" s="10">
        <v>3500</v>
      </c>
      <c r="H79">
        <v>69</v>
      </c>
      <c r="I79" s="10">
        <v>7000</v>
      </c>
      <c r="J79" s="11">
        <f ca="1" t="shared" si="19"/>
        <v>20</v>
      </c>
      <c r="K79" s="10">
        <f ca="1" t="shared" si="16"/>
        <v>70000</v>
      </c>
      <c r="L79" s="10">
        <f ca="1" t="shared" si="17"/>
        <v>140000</v>
      </c>
      <c r="M79" t="s">
        <v>24</v>
      </c>
    </row>
    <row r="80" spans="1:13">
      <c r="A80" t="s">
        <v>186</v>
      </c>
      <c r="B80" t="s">
        <v>187</v>
      </c>
      <c r="C80" s="8">
        <f ca="1" t="shared" si="18"/>
        <v>46063</v>
      </c>
      <c r="D80" t="s">
        <v>153</v>
      </c>
      <c r="E80" s="10" t="s">
        <v>18</v>
      </c>
      <c r="F80" s="10" t="s">
        <v>19</v>
      </c>
      <c r="G80" s="10">
        <v>12000</v>
      </c>
      <c r="H80">
        <v>44</v>
      </c>
      <c r="I80" s="10">
        <v>16000</v>
      </c>
      <c r="J80" s="11">
        <f ca="1" t="shared" si="19"/>
        <v>15</v>
      </c>
      <c r="K80" s="10">
        <f ca="1" t="shared" si="16"/>
        <v>180000</v>
      </c>
      <c r="L80" s="10">
        <f ca="1" t="shared" si="17"/>
        <v>240000</v>
      </c>
      <c r="M80" t="s">
        <v>24</v>
      </c>
    </row>
    <row r="81" spans="1:13">
      <c r="A81" t="s">
        <v>188</v>
      </c>
      <c r="B81" t="s">
        <v>189</v>
      </c>
      <c r="C81" s="8">
        <f ca="1" t="shared" si="18"/>
        <v>46066</v>
      </c>
      <c r="D81" t="s">
        <v>153</v>
      </c>
      <c r="E81" s="10" t="s">
        <v>23</v>
      </c>
      <c r="F81" s="10" t="s">
        <v>33</v>
      </c>
      <c r="G81" s="10">
        <v>14000</v>
      </c>
      <c r="H81">
        <v>34</v>
      </c>
      <c r="I81" s="10">
        <v>19000</v>
      </c>
      <c r="J81" s="11">
        <f ca="1" t="shared" si="19"/>
        <v>19</v>
      </c>
      <c r="K81" s="10">
        <f ca="1" t="shared" si="16"/>
        <v>266000</v>
      </c>
      <c r="L81" s="10">
        <f ca="1" t="shared" si="17"/>
        <v>361000</v>
      </c>
      <c r="M81" t="s">
        <v>30</v>
      </c>
    </row>
    <row r="82" spans="1:13">
      <c r="A82" t="s">
        <v>190</v>
      </c>
      <c r="B82" t="s">
        <v>191</v>
      </c>
      <c r="C82" s="8">
        <f ca="1" t="shared" si="18"/>
        <v>46043</v>
      </c>
      <c r="D82" t="s">
        <v>153</v>
      </c>
      <c r="E82" s="10" t="s">
        <v>18</v>
      </c>
      <c r="F82" s="10" t="s">
        <v>36</v>
      </c>
      <c r="G82" s="10">
        <v>2500</v>
      </c>
      <c r="H82">
        <v>45</v>
      </c>
      <c r="I82" s="10">
        <v>5000</v>
      </c>
      <c r="J82" s="11">
        <f ca="1" t="shared" si="19"/>
        <v>20</v>
      </c>
      <c r="K82" s="10">
        <f ca="1" t="shared" si="16"/>
        <v>50000</v>
      </c>
      <c r="L82" s="10">
        <f ca="1" t="shared" si="17"/>
        <v>100000</v>
      </c>
      <c r="M82" t="s">
        <v>30</v>
      </c>
    </row>
    <row r="83" spans="1:13">
      <c r="A83" t="s">
        <v>192</v>
      </c>
      <c r="B83" t="s">
        <v>193</v>
      </c>
      <c r="C83" s="8">
        <f ca="1" t="shared" ref="C83:C92" si="20">RANDBETWEEN(DATE(2026,1,1),DATE(2026,4,30))</f>
        <v>46031</v>
      </c>
      <c r="D83" t="s">
        <v>153</v>
      </c>
      <c r="E83" s="10" t="s">
        <v>23</v>
      </c>
      <c r="F83" s="10" t="s">
        <v>19</v>
      </c>
      <c r="G83" s="10">
        <v>15000</v>
      </c>
      <c r="H83">
        <v>59</v>
      </c>
      <c r="I83" s="10">
        <v>20000</v>
      </c>
      <c r="J83" s="11">
        <f ca="1" t="shared" ref="J83:J92" si="21">RANDBETWEEN(15,20)</f>
        <v>17</v>
      </c>
      <c r="K83" s="10">
        <f ca="1" t="shared" si="16"/>
        <v>255000</v>
      </c>
      <c r="L83" s="10">
        <f ca="1" t="shared" si="17"/>
        <v>340000</v>
      </c>
      <c r="M83" t="s">
        <v>30</v>
      </c>
    </row>
    <row r="84" spans="1:13">
      <c r="A84" t="s">
        <v>194</v>
      </c>
      <c r="B84" t="s">
        <v>195</v>
      </c>
      <c r="C84" s="8">
        <f ca="1" t="shared" si="20"/>
        <v>46042</v>
      </c>
      <c r="D84" t="s">
        <v>153</v>
      </c>
      <c r="E84" s="10" t="s">
        <v>23</v>
      </c>
      <c r="F84" s="10" t="s">
        <v>36</v>
      </c>
      <c r="G84" s="10">
        <v>10000</v>
      </c>
      <c r="H84">
        <v>42</v>
      </c>
      <c r="I84" s="10">
        <v>15000</v>
      </c>
      <c r="J84" s="11">
        <f ca="1" t="shared" si="21"/>
        <v>19</v>
      </c>
      <c r="K84" s="10">
        <f ca="1" t="shared" si="16"/>
        <v>190000</v>
      </c>
      <c r="L84" s="10">
        <f ca="1" t="shared" si="17"/>
        <v>285000</v>
      </c>
      <c r="M84" t="s">
        <v>30</v>
      </c>
    </row>
    <row r="85" spans="1:13">
      <c r="A85" t="s">
        <v>196</v>
      </c>
      <c r="B85" t="s">
        <v>197</v>
      </c>
      <c r="C85" s="8">
        <f ca="1" t="shared" si="20"/>
        <v>46030</v>
      </c>
      <c r="D85" t="s">
        <v>153</v>
      </c>
      <c r="E85" s="10" t="s">
        <v>18</v>
      </c>
      <c r="F85" s="10" t="s">
        <v>43</v>
      </c>
      <c r="G85" s="10">
        <v>9000</v>
      </c>
      <c r="H85">
        <v>30</v>
      </c>
      <c r="I85" s="10">
        <v>14000</v>
      </c>
      <c r="J85" s="11">
        <f ca="1" t="shared" si="21"/>
        <v>17</v>
      </c>
      <c r="K85" s="10">
        <f ca="1" t="shared" si="16"/>
        <v>153000</v>
      </c>
      <c r="L85" s="10">
        <f ca="1" t="shared" si="17"/>
        <v>238000</v>
      </c>
      <c r="M85" t="s">
        <v>30</v>
      </c>
    </row>
    <row r="86" spans="1:13">
      <c r="A86" t="s">
        <v>198</v>
      </c>
      <c r="B86" t="s">
        <v>199</v>
      </c>
      <c r="C86" s="8">
        <f ca="1" t="shared" si="20"/>
        <v>46024</v>
      </c>
      <c r="D86" t="s">
        <v>153</v>
      </c>
      <c r="E86" s="10" t="s">
        <v>23</v>
      </c>
      <c r="F86" s="10" t="s">
        <v>43</v>
      </c>
      <c r="G86" s="10">
        <v>10000</v>
      </c>
      <c r="H86">
        <v>55</v>
      </c>
      <c r="I86" s="10">
        <v>15000</v>
      </c>
      <c r="J86" s="11">
        <f ca="1" t="shared" si="21"/>
        <v>17</v>
      </c>
      <c r="K86" s="10">
        <f ca="1" t="shared" si="16"/>
        <v>170000</v>
      </c>
      <c r="L86" s="10">
        <f ca="1" t="shared" si="17"/>
        <v>255000</v>
      </c>
      <c r="M86" t="s">
        <v>20</v>
      </c>
    </row>
    <row r="87" spans="1:13">
      <c r="A87" t="s">
        <v>200</v>
      </c>
      <c r="B87" t="s">
        <v>201</v>
      </c>
      <c r="C87" s="8">
        <f ca="1" t="shared" si="20"/>
        <v>46044</v>
      </c>
      <c r="D87" t="s">
        <v>153</v>
      </c>
      <c r="E87" s="10" t="s">
        <v>18</v>
      </c>
      <c r="F87" s="10" t="s">
        <v>19</v>
      </c>
      <c r="G87" s="10">
        <v>10000</v>
      </c>
      <c r="H87">
        <v>49</v>
      </c>
      <c r="I87" s="10">
        <v>16000</v>
      </c>
      <c r="J87" s="11">
        <f ca="1" t="shared" si="21"/>
        <v>17</v>
      </c>
      <c r="K87" s="10">
        <f ca="1" t="shared" si="16"/>
        <v>170000</v>
      </c>
      <c r="L87" s="10">
        <f ca="1" t="shared" si="17"/>
        <v>272000</v>
      </c>
      <c r="M87" t="s">
        <v>24</v>
      </c>
    </row>
    <row r="88" spans="1:13">
      <c r="A88" t="s">
        <v>202</v>
      </c>
      <c r="B88" t="s">
        <v>203</v>
      </c>
      <c r="C88" s="8">
        <f ca="1" t="shared" si="20"/>
        <v>46082</v>
      </c>
      <c r="D88" t="s">
        <v>153</v>
      </c>
      <c r="E88" s="10" t="s">
        <v>23</v>
      </c>
      <c r="F88" s="10" t="s">
        <v>33</v>
      </c>
      <c r="G88" s="10">
        <v>12000</v>
      </c>
      <c r="H88">
        <v>62</v>
      </c>
      <c r="I88" s="10">
        <v>18000</v>
      </c>
      <c r="J88" s="11">
        <f ca="1" t="shared" si="21"/>
        <v>18</v>
      </c>
      <c r="K88" s="10">
        <f ca="1" t="shared" si="16"/>
        <v>216000</v>
      </c>
      <c r="L88" s="10">
        <f ca="1" t="shared" si="17"/>
        <v>324000</v>
      </c>
      <c r="M88" t="s">
        <v>20</v>
      </c>
    </row>
    <row r="89" spans="1:13">
      <c r="A89" t="s">
        <v>204</v>
      </c>
      <c r="B89" t="s">
        <v>205</v>
      </c>
      <c r="C89" s="8">
        <f ca="1" t="shared" si="20"/>
        <v>46108</v>
      </c>
      <c r="D89" t="s">
        <v>153</v>
      </c>
      <c r="E89" s="10" t="s">
        <v>23</v>
      </c>
      <c r="F89" s="10" t="s">
        <v>52</v>
      </c>
      <c r="G89" s="10">
        <v>5000</v>
      </c>
      <c r="H89">
        <v>48</v>
      </c>
      <c r="I89" s="10">
        <v>10000</v>
      </c>
      <c r="J89" s="11">
        <f ca="1" t="shared" si="21"/>
        <v>16</v>
      </c>
      <c r="K89" s="10">
        <f ca="1" t="shared" si="16"/>
        <v>80000</v>
      </c>
      <c r="L89" s="10">
        <f ca="1" t="shared" si="17"/>
        <v>160000</v>
      </c>
      <c r="M89" t="s">
        <v>30</v>
      </c>
    </row>
    <row r="90" spans="1:13">
      <c r="A90" t="s">
        <v>206</v>
      </c>
      <c r="B90" t="s">
        <v>207</v>
      </c>
      <c r="C90" s="8">
        <f ca="1" t="shared" si="20"/>
        <v>46119</v>
      </c>
      <c r="D90" t="s">
        <v>153</v>
      </c>
      <c r="E90" s="10" t="s">
        <v>18</v>
      </c>
      <c r="F90" s="10" t="s">
        <v>52</v>
      </c>
      <c r="G90" s="10">
        <v>12000</v>
      </c>
      <c r="H90">
        <v>58</v>
      </c>
      <c r="I90" s="10">
        <v>18000</v>
      </c>
      <c r="J90" s="11">
        <f ca="1" t="shared" si="21"/>
        <v>16</v>
      </c>
      <c r="K90" s="10">
        <f ca="1" t="shared" si="16"/>
        <v>192000</v>
      </c>
      <c r="L90" s="10">
        <f ca="1" t="shared" si="17"/>
        <v>288000</v>
      </c>
      <c r="M90" t="s">
        <v>20</v>
      </c>
    </row>
    <row r="91" spans="1:13">
      <c r="A91" t="s">
        <v>208</v>
      </c>
      <c r="B91" t="s">
        <v>209</v>
      </c>
      <c r="C91" s="8">
        <f ca="1" t="shared" si="20"/>
        <v>46089</v>
      </c>
      <c r="D91" t="s">
        <v>153</v>
      </c>
      <c r="E91" s="10" t="s">
        <v>23</v>
      </c>
      <c r="F91" s="10" t="s">
        <v>19</v>
      </c>
      <c r="G91" s="10">
        <v>15000</v>
      </c>
      <c r="H91">
        <v>41</v>
      </c>
      <c r="I91" s="10">
        <v>20000</v>
      </c>
      <c r="J91" s="11">
        <f ca="1" t="shared" si="21"/>
        <v>16</v>
      </c>
      <c r="K91" s="10">
        <f ca="1" t="shared" si="16"/>
        <v>240000</v>
      </c>
      <c r="L91" s="10">
        <f ca="1" t="shared" si="17"/>
        <v>320000</v>
      </c>
      <c r="M91" t="s">
        <v>24</v>
      </c>
    </row>
    <row r="92" spans="1:13">
      <c r="A92" t="s">
        <v>210</v>
      </c>
      <c r="B92" t="s">
        <v>211</v>
      </c>
      <c r="C92" s="8">
        <f ca="1" t="shared" si="20"/>
        <v>46070</v>
      </c>
      <c r="D92" t="s">
        <v>153</v>
      </c>
      <c r="E92" s="10" t="s">
        <v>18</v>
      </c>
      <c r="F92" s="10" t="s">
        <v>19</v>
      </c>
      <c r="G92" s="10">
        <v>4000</v>
      </c>
      <c r="H92">
        <v>53</v>
      </c>
      <c r="I92" s="10">
        <v>6000</v>
      </c>
      <c r="J92" s="11">
        <f ca="1" t="shared" si="21"/>
        <v>20</v>
      </c>
      <c r="K92" s="10">
        <f ca="1" t="shared" si="16"/>
        <v>80000</v>
      </c>
      <c r="L92" s="10">
        <f ca="1" t="shared" si="17"/>
        <v>120000</v>
      </c>
      <c r="M92" t="s">
        <v>20</v>
      </c>
    </row>
    <row r="93" spans="1:13">
      <c r="A93" t="s">
        <v>212</v>
      </c>
      <c r="B93" t="s">
        <v>213</v>
      </c>
      <c r="C93" s="8">
        <f ca="1" t="shared" ref="C93:C102" si="22">RANDBETWEEN(DATE(2026,1,1),DATE(2026,4,30))</f>
        <v>46046</v>
      </c>
      <c r="D93" t="s">
        <v>214</v>
      </c>
      <c r="E93" s="10" t="s">
        <v>23</v>
      </c>
      <c r="F93" s="10" t="s">
        <v>19</v>
      </c>
      <c r="G93" s="10">
        <v>5000</v>
      </c>
      <c r="H93">
        <v>42</v>
      </c>
      <c r="I93" s="10">
        <v>15000</v>
      </c>
      <c r="J93" s="11">
        <f ca="1" t="shared" ref="J93:J102" si="23">RANDBETWEEN(15,20)</f>
        <v>20</v>
      </c>
      <c r="K93" s="10">
        <f ca="1" t="shared" si="16"/>
        <v>100000</v>
      </c>
      <c r="L93" s="10">
        <f ca="1" t="shared" si="17"/>
        <v>300000</v>
      </c>
      <c r="M93" t="s">
        <v>30</v>
      </c>
    </row>
    <row r="94" spans="1:13">
      <c r="A94" t="s">
        <v>215</v>
      </c>
      <c r="B94" t="s">
        <v>216</v>
      </c>
      <c r="C94" s="8">
        <f ca="1" t="shared" si="22"/>
        <v>46086</v>
      </c>
      <c r="D94" t="s">
        <v>214</v>
      </c>
      <c r="E94" s="10" t="s">
        <v>23</v>
      </c>
      <c r="F94" s="10" t="s">
        <v>19</v>
      </c>
      <c r="G94" s="10">
        <v>5000</v>
      </c>
      <c r="H94">
        <v>39</v>
      </c>
      <c r="I94" s="10">
        <v>15000</v>
      </c>
      <c r="J94" s="11">
        <f ca="1" t="shared" si="23"/>
        <v>20</v>
      </c>
      <c r="K94" s="10">
        <f ca="1" t="shared" si="16"/>
        <v>100000</v>
      </c>
      <c r="L94" s="10">
        <f ca="1" t="shared" si="17"/>
        <v>300000</v>
      </c>
      <c r="M94" t="s">
        <v>30</v>
      </c>
    </row>
    <row r="95" spans="1:13">
      <c r="A95" t="s">
        <v>217</v>
      </c>
      <c r="B95" t="s">
        <v>218</v>
      </c>
      <c r="C95" s="8">
        <f ca="1" t="shared" si="22"/>
        <v>46071</v>
      </c>
      <c r="D95" t="s">
        <v>214</v>
      </c>
      <c r="E95" s="10" t="s">
        <v>18</v>
      </c>
      <c r="F95" s="10" t="s">
        <v>19</v>
      </c>
      <c r="G95" s="10">
        <v>5000</v>
      </c>
      <c r="H95">
        <v>42</v>
      </c>
      <c r="I95" s="10">
        <v>16000</v>
      </c>
      <c r="J95" s="11">
        <f ca="1" t="shared" si="23"/>
        <v>18</v>
      </c>
      <c r="K95" s="10">
        <f ca="1" t="shared" si="16"/>
        <v>90000</v>
      </c>
      <c r="L95" s="10">
        <f ca="1" t="shared" si="17"/>
        <v>288000</v>
      </c>
      <c r="M95" t="s">
        <v>20</v>
      </c>
    </row>
    <row r="96" spans="1:13">
      <c r="A96" t="s">
        <v>219</v>
      </c>
      <c r="B96" t="s">
        <v>220</v>
      </c>
      <c r="C96" s="8">
        <f ca="1" t="shared" si="22"/>
        <v>46082</v>
      </c>
      <c r="D96" t="s">
        <v>214</v>
      </c>
      <c r="E96" s="10" t="s">
        <v>23</v>
      </c>
      <c r="F96" s="10" t="s">
        <v>33</v>
      </c>
      <c r="G96" s="10">
        <v>5000</v>
      </c>
      <c r="H96">
        <v>58</v>
      </c>
      <c r="I96" s="10">
        <v>15000</v>
      </c>
      <c r="J96" s="11">
        <f ca="1" t="shared" si="23"/>
        <v>17</v>
      </c>
      <c r="K96" s="10">
        <f ca="1" t="shared" si="16"/>
        <v>85000</v>
      </c>
      <c r="L96" s="10">
        <f ca="1" t="shared" si="17"/>
        <v>255000</v>
      </c>
      <c r="M96" t="s">
        <v>20</v>
      </c>
    </row>
    <row r="97" spans="1:13">
      <c r="A97" t="s">
        <v>221</v>
      </c>
      <c r="B97" t="s">
        <v>222</v>
      </c>
      <c r="C97" s="8">
        <f ca="1" t="shared" si="22"/>
        <v>46099</v>
      </c>
      <c r="D97" t="s">
        <v>214</v>
      </c>
      <c r="E97" s="10" t="s">
        <v>18</v>
      </c>
      <c r="F97" s="10" t="s">
        <v>36</v>
      </c>
      <c r="G97" s="10">
        <v>2500</v>
      </c>
      <c r="H97">
        <v>34</v>
      </c>
      <c r="I97" s="10">
        <v>4500</v>
      </c>
      <c r="J97" s="11">
        <f ca="1" t="shared" si="23"/>
        <v>20</v>
      </c>
      <c r="K97" s="10">
        <f ca="1" t="shared" si="16"/>
        <v>50000</v>
      </c>
      <c r="L97" s="10">
        <f ca="1" t="shared" si="17"/>
        <v>90000</v>
      </c>
      <c r="M97" t="s">
        <v>20</v>
      </c>
    </row>
    <row r="98" spans="1:13">
      <c r="A98" t="s">
        <v>223</v>
      </c>
      <c r="B98" t="s">
        <v>224</v>
      </c>
      <c r="C98" s="8">
        <f ca="1" t="shared" si="22"/>
        <v>46133</v>
      </c>
      <c r="D98" t="s">
        <v>214</v>
      </c>
      <c r="E98" s="10" t="s">
        <v>23</v>
      </c>
      <c r="F98" s="10" t="s">
        <v>19</v>
      </c>
      <c r="G98" s="10">
        <v>3000</v>
      </c>
      <c r="H98">
        <v>37</v>
      </c>
      <c r="I98" s="10">
        <v>6000</v>
      </c>
      <c r="J98" s="11">
        <f ca="1" t="shared" si="23"/>
        <v>17</v>
      </c>
      <c r="K98" s="10">
        <f ca="1" t="shared" si="16"/>
        <v>51000</v>
      </c>
      <c r="L98" s="10">
        <f ca="1" t="shared" si="17"/>
        <v>102000</v>
      </c>
      <c r="M98" t="s">
        <v>20</v>
      </c>
    </row>
    <row r="99" spans="1:13">
      <c r="A99" t="s">
        <v>225</v>
      </c>
      <c r="B99" t="s">
        <v>226</v>
      </c>
      <c r="C99" s="8">
        <f ca="1" t="shared" si="22"/>
        <v>46050</v>
      </c>
      <c r="D99" t="s">
        <v>214</v>
      </c>
      <c r="E99" s="10" t="s">
        <v>23</v>
      </c>
      <c r="F99" s="10" t="s">
        <v>36</v>
      </c>
      <c r="G99" s="10">
        <v>3000</v>
      </c>
      <c r="H99">
        <v>70</v>
      </c>
      <c r="I99" s="10">
        <v>6000</v>
      </c>
      <c r="J99" s="11">
        <f ca="1" t="shared" si="23"/>
        <v>15</v>
      </c>
      <c r="K99" s="10">
        <f ca="1" t="shared" si="16"/>
        <v>45000</v>
      </c>
      <c r="L99" s="10">
        <f ca="1" t="shared" si="17"/>
        <v>90000</v>
      </c>
      <c r="M99" t="s">
        <v>20</v>
      </c>
    </row>
    <row r="100" spans="1:13">
      <c r="A100" t="s">
        <v>227</v>
      </c>
      <c r="B100" t="s">
        <v>228</v>
      </c>
      <c r="C100" s="8">
        <f ca="1" t="shared" si="22"/>
        <v>46041</v>
      </c>
      <c r="D100" t="s">
        <v>214</v>
      </c>
      <c r="E100" s="10" t="s">
        <v>18</v>
      </c>
      <c r="F100" s="10" t="s">
        <v>43</v>
      </c>
      <c r="G100" s="10">
        <v>3000</v>
      </c>
      <c r="H100">
        <v>47</v>
      </c>
      <c r="I100" s="10">
        <v>6000</v>
      </c>
      <c r="J100" s="11">
        <f ca="1" t="shared" si="23"/>
        <v>17</v>
      </c>
      <c r="K100" s="10">
        <f ca="1" t="shared" si="16"/>
        <v>51000</v>
      </c>
      <c r="L100" s="10">
        <f ca="1" t="shared" si="17"/>
        <v>102000</v>
      </c>
      <c r="M100" t="s">
        <v>24</v>
      </c>
    </row>
    <row r="101" spans="1:13">
      <c r="A101" t="s">
        <v>229</v>
      </c>
      <c r="B101" t="s">
        <v>230</v>
      </c>
      <c r="C101" s="8">
        <f ca="1" t="shared" si="22"/>
        <v>46043</v>
      </c>
      <c r="D101" t="s">
        <v>150</v>
      </c>
      <c r="E101" s="10" t="s">
        <v>23</v>
      </c>
      <c r="F101" s="10" t="s">
        <v>43</v>
      </c>
      <c r="G101" s="10">
        <v>1000</v>
      </c>
      <c r="H101">
        <v>37</v>
      </c>
      <c r="I101" s="10">
        <v>2000</v>
      </c>
      <c r="J101" s="11">
        <f ca="1" t="shared" si="23"/>
        <v>18</v>
      </c>
      <c r="K101" s="10">
        <f ca="1" t="shared" si="16"/>
        <v>18000</v>
      </c>
      <c r="L101" s="10">
        <f ca="1" t="shared" si="17"/>
        <v>36000</v>
      </c>
      <c r="M101" t="s">
        <v>24</v>
      </c>
    </row>
    <row r="102" spans="1:13">
      <c r="A102" t="s">
        <v>231</v>
      </c>
      <c r="B102" t="s">
        <v>232</v>
      </c>
      <c r="C102" s="8">
        <f ca="1" t="shared" si="22"/>
        <v>46109</v>
      </c>
      <c r="D102" t="s">
        <v>150</v>
      </c>
      <c r="E102" s="10" t="s">
        <v>18</v>
      </c>
      <c r="F102" s="10" t="s">
        <v>19</v>
      </c>
      <c r="G102" s="10">
        <v>500</v>
      </c>
      <c r="H102">
        <v>48</v>
      </c>
      <c r="I102" s="10">
        <v>1000</v>
      </c>
      <c r="J102" s="11">
        <f ca="1" t="shared" si="23"/>
        <v>16</v>
      </c>
      <c r="K102" s="10">
        <f ca="1" t="shared" si="16"/>
        <v>8000</v>
      </c>
      <c r="L102" s="10">
        <f ca="1" t="shared" si="17"/>
        <v>16000</v>
      </c>
      <c r="M102" t="s">
        <v>24</v>
      </c>
    </row>
    <row r="103" spans="1:13">
      <c r="A103" t="s">
        <v>233</v>
      </c>
      <c r="B103" t="s">
        <v>234</v>
      </c>
      <c r="C103" s="8">
        <f ca="1" t="shared" ref="C103:C112" si="24">RANDBETWEEN(DATE(2026,1,1),DATE(2026,4,30))</f>
        <v>46054</v>
      </c>
      <c r="D103" t="s">
        <v>150</v>
      </c>
      <c r="E103" s="10" t="s">
        <v>23</v>
      </c>
      <c r="F103" s="10" t="s">
        <v>33</v>
      </c>
      <c r="G103" s="10">
        <v>2500</v>
      </c>
      <c r="H103">
        <v>55</v>
      </c>
      <c r="I103" s="10">
        <v>5000</v>
      </c>
      <c r="J103" s="11">
        <f ca="1" t="shared" ref="J103:J112" si="25">RANDBETWEEN(15,20)</f>
        <v>16</v>
      </c>
      <c r="K103" s="10">
        <f ca="1" t="shared" si="16"/>
        <v>40000</v>
      </c>
      <c r="L103" s="10">
        <f ca="1" t="shared" si="17"/>
        <v>80000</v>
      </c>
      <c r="M103" t="s">
        <v>30</v>
      </c>
    </row>
    <row r="104" spans="1:13">
      <c r="A104" t="s">
        <v>235</v>
      </c>
      <c r="B104" t="s">
        <v>236</v>
      </c>
      <c r="C104" s="8">
        <f ca="1" t="shared" si="24"/>
        <v>46037</v>
      </c>
      <c r="D104" t="s">
        <v>150</v>
      </c>
      <c r="E104" s="10" t="s">
        <v>23</v>
      </c>
      <c r="F104" s="10" t="s">
        <v>52</v>
      </c>
      <c r="G104" s="10">
        <v>1500</v>
      </c>
      <c r="H104">
        <v>31</v>
      </c>
      <c r="I104" s="10">
        <v>3000</v>
      </c>
      <c r="J104" s="11">
        <f ca="1" t="shared" si="25"/>
        <v>19</v>
      </c>
      <c r="K104" s="10">
        <f ca="1" t="shared" si="16"/>
        <v>28500</v>
      </c>
      <c r="L104" s="10">
        <f ca="1" t="shared" si="17"/>
        <v>57000</v>
      </c>
      <c r="M104" t="s">
        <v>30</v>
      </c>
    </row>
    <row r="105" spans="1:13">
      <c r="A105" t="s">
        <v>237</v>
      </c>
      <c r="B105" t="s">
        <v>238</v>
      </c>
      <c r="C105" s="8">
        <f ca="1" t="shared" si="24"/>
        <v>46061</v>
      </c>
      <c r="D105" t="s">
        <v>150</v>
      </c>
      <c r="E105" s="10" t="s">
        <v>18</v>
      </c>
      <c r="F105" s="10" t="s">
        <v>52</v>
      </c>
      <c r="G105" s="10">
        <v>200</v>
      </c>
      <c r="H105">
        <v>53</v>
      </c>
      <c r="I105" s="10">
        <v>500</v>
      </c>
      <c r="J105" s="11">
        <f ca="1" t="shared" si="25"/>
        <v>17</v>
      </c>
      <c r="K105" s="10">
        <f ca="1" t="shared" si="16"/>
        <v>3400</v>
      </c>
      <c r="L105" s="10">
        <f ca="1" t="shared" si="17"/>
        <v>8500</v>
      </c>
      <c r="M105" t="s">
        <v>30</v>
      </c>
    </row>
    <row r="106" spans="1:13">
      <c r="A106" t="s">
        <v>239</v>
      </c>
      <c r="B106" t="s">
        <v>240</v>
      </c>
      <c r="C106" s="8">
        <f ca="1" t="shared" si="24"/>
        <v>46098</v>
      </c>
      <c r="D106" t="s">
        <v>150</v>
      </c>
      <c r="E106" s="10" t="s">
        <v>23</v>
      </c>
      <c r="F106" s="10" t="s">
        <v>19</v>
      </c>
      <c r="G106" s="10">
        <v>200</v>
      </c>
      <c r="H106">
        <v>65</v>
      </c>
      <c r="I106" s="10">
        <v>500</v>
      </c>
      <c r="J106" s="11">
        <f ca="1" t="shared" si="25"/>
        <v>19</v>
      </c>
      <c r="K106" s="10">
        <f ca="1" t="shared" si="16"/>
        <v>3800</v>
      </c>
      <c r="L106" s="10">
        <f ca="1" t="shared" si="17"/>
        <v>9500</v>
      </c>
      <c r="M106" t="s">
        <v>30</v>
      </c>
    </row>
    <row r="107" spans="1:13">
      <c r="A107" t="s">
        <v>241</v>
      </c>
      <c r="B107" t="s">
        <v>242</v>
      </c>
      <c r="C107" s="8">
        <f ca="1" t="shared" si="24"/>
        <v>46058</v>
      </c>
      <c r="D107" t="s">
        <v>243</v>
      </c>
      <c r="E107" s="10" t="s">
        <v>18</v>
      </c>
      <c r="F107" s="10" t="s">
        <v>19</v>
      </c>
      <c r="G107" s="10">
        <v>1000</v>
      </c>
      <c r="H107">
        <v>37</v>
      </c>
      <c r="I107" s="10">
        <v>1500</v>
      </c>
      <c r="J107" s="11">
        <f ca="1" t="shared" si="25"/>
        <v>16</v>
      </c>
      <c r="K107" s="10">
        <f ca="1" t="shared" si="16"/>
        <v>16000</v>
      </c>
      <c r="L107" s="10">
        <f ca="1" t="shared" si="17"/>
        <v>24000</v>
      </c>
      <c r="M107" t="s">
        <v>30</v>
      </c>
    </row>
    <row r="108" spans="1:13">
      <c r="A108" t="s">
        <v>244</v>
      </c>
      <c r="B108" t="s">
        <v>245</v>
      </c>
      <c r="C108" s="8">
        <f ca="1" t="shared" si="24"/>
        <v>46053</v>
      </c>
      <c r="D108" t="s">
        <v>243</v>
      </c>
      <c r="E108" s="10" t="s">
        <v>23</v>
      </c>
      <c r="F108" s="10" t="s">
        <v>19</v>
      </c>
      <c r="G108" s="10">
        <v>2000</v>
      </c>
      <c r="H108">
        <v>36</v>
      </c>
      <c r="I108" s="10">
        <v>4000</v>
      </c>
      <c r="J108" s="11">
        <f ca="1" t="shared" si="25"/>
        <v>17</v>
      </c>
      <c r="K108" s="10">
        <f ca="1" t="shared" si="16"/>
        <v>34000</v>
      </c>
      <c r="L108" s="10">
        <f ca="1" t="shared" si="17"/>
        <v>68000</v>
      </c>
      <c r="M108" t="s">
        <v>20</v>
      </c>
    </row>
    <row r="109" spans="1:13">
      <c r="A109" t="s">
        <v>246</v>
      </c>
      <c r="B109" t="s">
        <v>247</v>
      </c>
      <c r="C109" s="8">
        <f ca="1" t="shared" si="24"/>
        <v>46093</v>
      </c>
      <c r="D109" t="s">
        <v>243</v>
      </c>
      <c r="E109" s="10" t="s">
        <v>23</v>
      </c>
      <c r="F109" s="10" t="s">
        <v>19</v>
      </c>
      <c r="G109" s="10">
        <v>1000</v>
      </c>
      <c r="H109">
        <v>59</v>
      </c>
      <c r="I109" s="10">
        <v>2000</v>
      </c>
      <c r="J109" s="11">
        <f ca="1" t="shared" si="25"/>
        <v>20</v>
      </c>
      <c r="K109" s="10">
        <f ca="1" t="shared" si="16"/>
        <v>20000</v>
      </c>
      <c r="L109" s="10">
        <f ca="1" t="shared" si="17"/>
        <v>40000</v>
      </c>
      <c r="M109" t="s">
        <v>24</v>
      </c>
    </row>
    <row r="110" spans="1:13">
      <c r="A110" t="s">
        <v>248</v>
      </c>
      <c r="B110" t="s">
        <v>249</v>
      </c>
      <c r="C110" s="8">
        <f ca="1" t="shared" si="24"/>
        <v>46134</v>
      </c>
      <c r="D110" t="s">
        <v>243</v>
      </c>
      <c r="E110" s="10" t="s">
        <v>18</v>
      </c>
      <c r="F110" s="10" t="s">
        <v>19</v>
      </c>
      <c r="G110" s="10">
        <v>3000</v>
      </c>
      <c r="H110">
        <v>45</v>
      </c>
      <c r="I110" s="10">
        <v>5000</v>
      </c>
      <c r="J110" s="11">
        <f ca="1" t="shared" si="25"/>
        <v>17</v>
      </c>
      <c r="K110" s="10">
        <f ca="1" t="shared" si="16"/>
        <v>51000</v>
      </c>
      <c r="L110" s="10">
        <f ca="1" t="shared" si="17"/>
        <v>85000</v>
      </c>
      <c r="M110" t="s">
        <v>20</v>
      </c>
    </row>
    <row r="111" spans="1:13">
      <c r="A111" t="s">
        <v>250</v>
      </c>
      <c r="B111" t="s">
        <v>251</v>
      </c>
      <c r="C111" s="8">
        <f ca="1" t="shared" si="24"/>
        <v>46038</v>
      </c>
      <c r="D111" t="s">
        <v>243</v>
      </c>
      <c r="E111" s="10" t="s">
        <v>23</v>
      </c>
      <c r="F111" s="10" t="s">
        <v>33</v>
      </c>
      <c r="G111" s="10">
        <v>2000</v>
      </c>
      <c r="H111">
        <v>48</v>
      </c>
      <c r="I111" s="10">
        <v>3500</v>
      </c>
      <c r="J111" s="11">
        <f ca="1" t="shared" si="25"/>
        <v>15</v>
      </c>
      <c r="K111" s="10">
        <f ca="1" t="shared" si="16"/>
        <v>30000</v>
      </c>
      <c r="L111" s="10">
        <f ca="1" t="shared" si="17"/>
        <v>52500</v>
      </c>
      <c r="M111" t="s">
        <v>30</v>
      </c>
    </row>
    <row r="112" spans="1:13">
      <c r="A112" t="s">
        <v>252</v>
      </c>
      <c r="B112" t="s">
        <v>253</v>
      </c>
      <c r="C112" s="8">
        <f ca="1" t="shared" si="24"/>
        <v>46111</v>
      </c>
      <c r="D112" t="s">
        <v>243</v>
      </c>
      <c r="E112" s="10" t="s">
        <v>18</v>
      </c>
      <c r="F112" s="10" t="s">
        <v>36</v>
      </c>
      <c r="G112" s="10">
        <v>3500</v>
      </c>
      <c r="H112">
        <v>33</v>
      </c>
      <c r="I112" s="10">
        <v>8000</v>
      </c>
      <c r="J112" s="11">
        <f ca="1" t="shared" si="25"/>
        <v>19</v>
      </c>
      <c r="K112" s="10">
        <f ca="1" t="shared" si="16"/>
        <v>66500</v>
      </c>
      <c r="L112" s="10">
        <f ca="1" t="shared" si="17"/>
        <v>152000</v>
      </c>
      <c r="M112" t="s">
        <v>20</v>
      </c>
    </row>
    <row r="113" spans="1:13">
      <c r="A113" t="s">
        <v>254</v>
      </c>
      <c r="B113" t="s">
        <v>255</v>
      </c>
      <c r="C113" s="8">
        <f ca="1" t="shared" ref="C113:C122" si="26">RANDBETWEEN(DATE(2026,1,1),DATE(2026,4,30))</f>
        <v>46142</v>
      </c>
      <c r="D113" t="s">
        <v>243</v>
      </c>
      <c r="E113" s="10" t="s">
        <v>23</v>
      </c>
      <c r="F113" s="10" t="s">
        <v>19</v>
      </c>
      <c r="G113" s="10">
        <v>17000</v>
      </c>
      <c r="H113">
        <v>60</v>
      </c>
      <c r="I113" s="10">
        <v>25000</v>
      </c>
      <c r="J113" s="11">
        <f ca="1" t="shared" ref="J113:J122" si="27">RANDBETWEEN(15,20)</f>
        <v>16</v>
      </c>
      <c r="K113" s="10">
        <f ca="1" t="shared" si="16"/>
        <v>272000</v>
      </c>
      <c r="L113" s="10">
        <f ca="1" t="shared" si="17"/>
        <v>400000</v>
      </c>
      <c r="M113" t="s">
        <v>24</v>
      </c>
    </row>
    <row r="114" spans="1:13">
      <c r="A114" t="s">
        <v>256</v>
      </c>
      <c r="B114" t="s">
        <v>257</v>
      </c>
      <c r="C114" s="8">
        <f ca="1" t="shared" si="26"/>
        <v>46088</v>
      </c>
      <c r="D114" t="s">
        <v>243</v>
      </c>
      <c r="E114" s="10" t="s">
        <v>23</v>
      </c>
      <c r="F114" s="10" t="s">
        <v>36</v>
      </c>
      <c r="G114" s="10">
        <v>12000</v>
      </c>
      <c r="H114">
        <v>39</v>
      </c>
      <c r="I114" s="10">
        <v>16000</v>
      </c>
      <c r="J114" s="11">
        <f ca="1" t="shared" si="27"/>
        <v>20</v>
      </c>
      <c r="K114" s="10">
        <f ca="1" t="shared" si="16"/>
        <v>240000</v>
      </c>
      <c r="L114" s="10">
        <f ca="1" t="shared" si="17"/>
        <v>320000</v>
      </c>
      <c r="M114" t="s">
        <v>20</v>
      </c>
    </row>
    <row r="115" spans="1:13">
      <c r="A115" t="s">
        <v>258</v>
      </c>
      <c r="B115" t="s">
        <v>259</v>
      </c>
      <c r="C115" s="8">
        <f ca="1" t="shared" si="26"/>
        <v>46114</v>
      </c>
      <c r="D115" t="s">
        <v>150</v>
      </c>
      <c r="E115" s="10" t="s">
        <v>18</v>
      </c>
      <c r="F115" s="10" t="s">
        <v>43</v>
      </c>
      <c r="G115" s="10">
        <v>4000</v>
      </c>
      <c r="H115">
        <v>58</v>
      </c>
      <c r="I115" s="10">
        <v>6000</v>
      </c>
      <c r="J115" s="11">
        <f ca="1" t="shared" si="27"/>
        <v>17</v>
      </c>
      <c r="K115" s="10">
        <f ca="1" t="shared" si="16"/>
        <v>68000</v>
      </c>
      <c r="L115" s="10">
        <f ca="1" t="shared" si="17"/>
        <v>102000</v>
      </c>
      <c r="M115" t="s">
        <v>30</v>
      </c>
    </row>
    <row r="116" spans="1:13">
      <c r="A116" t="s">
        <v>260</v>
      </c>
      <c r="B116" t="s">
        <v>261</v>
      </c>
      <c r="C116" s="8">
        <f ca="1" t="shared" si="26"/>
        <v>46079</v>
      </c>
      <c r="D116" t="s">
        <v>150</v>
      </c>
      <c r="E116" s="10" t="s">
        <v>23</v>
      </c>
      <c r="F116" s="10" t="s">
        <v>43</v>
      </c>
      <c r="G116" s="10">
        <v>6000</v>
      </c>
      <c r="H116">
        <v>66</v>
      </c>
      <c r="I116" s="10">
        <v>8000</v>
      </c>
      <c r="J116" s="11">
        <f ca="1" t="shared" si="27"/>
        <v>17</v>
      </c>
      <c r="K116" s="10">
        <f ca="1" t="shared" si="16"/>
        <v>102000</v>
      </c>
      <c r="L116" s="10">
        <f ca="1" t="shared" si="17"/>
        <v>136000</v>
      </c>
      <c r="M116" t="s">
        <v>30</v>
      </c>
    </row>
    <row r="117" spans="1:13">
      <c r="A117" t="s">
        <v>262</v>
      </c>
      <c r="B117" t="s">
        <v>263</v>
      </c>
      <c r="C117" s="8">
        <f ca="1" t="shared" si="26"/>
        <v>46054</v>
      </c>
      <c r="D117" t="s">
        <v>150</v>
      </c>
      <c r="E117" s="10" t="s">
        <v>18</v>
      </c>
      <c r="F117" s="10" t="s">
        <v>19</v>
      </c>
      <c r="G117" s="10">
        <v>6500</v>
      </c>
      <c r="H117">
        <v>58</v>
      </c>
      <c r="I117" s="10">
        <v>9000</v>
      </c>
      <c r="J117" s="11">
        <f ca="1" t="shared" si="27"/>
        <v>20</v>
      </c>
      <c r="K117" s="10">
        <f ca="1" t="shared" si="16"/>
        <v>130000</v>
      </c>
      <c r="L117" s="10">
        <f ca="1" t="shared" si="17"/>
        <v>180000</v>
      </c>
      <c r="M117" t="s">
        <v>20</v>
      </c>
    </row>
    <row r="118" spans="1:13">
      <c r="A118" t="s">
        <v>264</v>
      </c>
      <c r="B118" t="s">
        <v>265</v>
      </c>
      <c r="C118" s="8">
        <f ca="1" t="shared" si="26"/>
        <v>46103</v>
      </c>
      <c r="D118" t="s">
        <v>150</v>
      </c>
      <c r="E118" s="10" t="s">
        <v>23</v>
      </c>
      <c r="F118" s="10" t="s">
        <v>33</v>
      </c>
      <c r="G118" s="10">
        <v>4500</v>
      </c>
      <c r="H118">
        <v>48</v>
      </c>
      <c r="I118" s="10">
        <v>8000</v>
      </c>
      <c r="J118" s="11">
        <f ca="1" t="shared" si="27"/>
        <v>20</v>
      </c>
      <c r="K118" s="10">
        <f ca="1" t="shared" si="16"/>
        <v>90000</v>
      </c>
      <c r="L118" s="10">
        <f ca="1" t="shared" si="17"/>
        <v>160000</v>
      </c>
      <c r="M118" t="s">
        <v>20</v>
      </c>
    </row>
    <row r="119" spans="1:13">
      <c r="A119" t="s">
        <v>266</v>
      </c>
      <c r="B119" t="s">
        <v>267</v>
      </c>
      <c r="C119" s="8">
        <f ca="1" t="shared" si="26"/>
        <v>46105</v>
      </c>
      <c r="D119" t="s">
        <v>150</v>
      </c>
      <c r="E119" s="10" t="s">
        <v>23</v>
      </c>
      <c r="F119" s="10" t="s">
        <v>52</v>
      </c>
      <c r="G119" s="10">
        <v>18000</v>
      </c>
      <c r="H119">
        <v>65</v>
      </c>
      <c r="I119" s="10">
        <v>25000</v>
      </c>
      <c r="J119" s="11">
        <f ca="1" t="shared" si="27"/>
        <v>18</v>
      </c>
      <c r="K119" s="10">
        <f ca="1" t="shared" si="16"/>
        <v>324000</v>
      </c>
      <c r="L119" s="10">
        <f ca="1" t="shared" si="17"/>
        <v>450000</v>
      </c>
      <c r="M119" t="s">
        <v>20</v>
      </c>
    </row>
    <row r="120" spans="1:13">
      <c r="A120" t="s">
        <v>268</v>
      </c>
      <c r="B120" t="s">
        <v>269</v>
      </c>
      <c r="C120" s="8">
        <f ca="1" t="shared" si="26"/>
        <v>46032</v>
      </c>
      <c r="D120" t="s">
        <v>270</v>
      </c>
      <c r="E120" s="10" t="s">
        <v>18</v>
      </c>
      <c r="F120" s="10" t="s">
        <v>52</v>
      </c>
      <c r="G120" s="10">
        <v>9000</v>
      </c>
      <c r="H120">
        <v>36</v>
      </c>
      <c r="I120" s="10">
        <v>12000</v>
      </c>
      <c r="J120" s="11">
        <f ca="1" t="shared" si="27"/>
        <v>17</v>
      </c>
      <c r="K120" s="10">
        <f ca="1" t="shared" si="16"/>
        <v>153000</v>
      </c>
      <c r="L120" s="10">
        <f ca="1" t="shared" si="17"/>
        <v>204000</v>
      </c>
      <c r="M120" t="s">
        <v>20</v>
      </c>
    </row>
    <row r="121" spans="1:13">
      <c r="A121" t="s">
        <v>271</v>
      </c>
      <c r="B121" t="s">
        <v>272</v>
      </c>
      <c r="C121" s="8">
        <f ca="1" t="shared" si="26"/>
        <v>46043</v>
      </c>
      <c r="D121" t="s">
        <v>270</v>
      </c>
      <c r="E121" s="10" t="s">
        <v>23</v>
      </c>
      <c r="F121" s="10" t="s">
        <v>19</v>
      </c>
      <c r="G121" s="10">
        <v>6500</v>
      </c>
      <c r="H121">
        <v>57</v>
      </c>
      <c r="I121" s="10">
        <v>10000</v>
      </c>
      <c r="J121" s="11">
        <f ca="1" t="shared" si="27"/>
        <v>20</v>
      </c>
      <c r="K121" s="10">
        <f ca="1" t="shared" si="16"/>
        <v>130000</v>
      </c>
      <c r="L121" s="10">
        <f ca="1" t="shared" si="17"/>
        <v>200000</v>
      </c>
      <c r="M121" t="s">
        <v>20</v>
      </c>
    </row>
    <row r="122" spans="1:13">
      <c r="A122" t="s">
        <v>273</v>
      </c>
      <c r="B122" t="s">
        <v>274</v>
      </c>
      <c r="C122" s="8">
        <f ca="1" t="shared" si="26"/>
        <v>46087</v>
      </c>
      <c r="D122" t="s">
        <v>270</v>
      </c>
      <c r="E122" s="10" t="s">
        <v>18</v>
      </c>
      <c r="F122" s="10" t="s">
        <v>19</v>
      </c>
      <c r="G122" s="10">
        <v>7000</v>
      </c>
      <c r="H122">
        <v>50</v>
      </c>
      <c r="I122" s="10">
        <v>12000</v>
      </c>
      <c r="J122" s="11">
        <f ca="1" t="shared" si="27"/>
        <v>18</v>
      </c>
      <c r="K122" s="10">
        <f ca="1" t="shared" si="16"/>
        <v>126000</v>
      </c>
      <c r="L122" s="10">
        <f ca="1" t="shared" si="17"/>
        <v>216000</v>
      </c>
      <c r="M122" t="s">
        <v>24</v>
      </c>
    </row>
    <row r="123" spans="1:13">
      <c r="A123" t="s">
        <v>275</v>
      </c>
      <c r="B123" t="s">
        <v>276</v>
      </c>
      <c r="C123" s="8">
        <f ca="1" t="shared" ref="C123:C132" si="28">RANDBETWEEN(DATE(2026,1,1),DATE(2026,4,30))</f>
        <v>46090</v>
      </c>
      <c r="D123" t="s">
        <v>270</v>
      </c>
      <c r="E123" s="10" t="s">
        <v>23</v>
      </c>
      <c r="F123" s="10" t="s">
        <v>19</v>
      </c>
      <c r="G123" s="10">
        <v>1000</v>
      </c>
      <c r="H123">
        <v>33</v>
      </c>
      <c r="I123" s="10">
        <v>2000</v>
      </c>
      <c r="J123" s="11">
        <f ca="1" t="shared" ref="J123:J132" si="29">RANDBETWEEN(15,20)</f>
        <v>15</v>
      </c>
      <c r="K123" s="10">
        <f ca="1" t="shared" si="16"/>
        <v>15000</v>
      </c>
      <c r="L123" s="10">
        <f ca="1" t="shared" si="17"/>
        <v>30000</v>
      </c>
      <c r="M123" t="s">
        <v>24</v>
      </c>
    </row>
    <row r="124" spans="1:13">
      <c r="A124" t="s">
        <v>277</v>
      </c>
      <c r="B124" t="s">
        <v>278</v>
      </c>
      <c r="C124" s="8">
        <f ca="1" t="shared" si="28"/>
        <v>46055</v>
      </c>
      <c r="D124" t="s">
        <v>270</v>
      </c>
      <c r="E124" s="10" t="s">
        <v>23</v>
      </c>
      <c r="F124" s="10" t="s">
        <v>19</v>
      </c>
      <c r="G124" s="10">
        <v>1500</v>
      </c>
      <c r="H124">
        <v>63</v>
      </c>
      <c r="I124" s="10">
        <v>3000</v>
      </c>
      <c r="J124" s="11">
        <f ca="1" t="shared" si="29"/>
        <v>17</v>
      </c>
      <c r="K124" s="10">
        <f ca="1" t="shared" si="16"/>
        <v>25500</v>
      </c>
      <c r="L124" s="10">
        <f ca="1" t="shared" si="17"/>
        <v>51000</v>
      </c>
      <c r="M124" t="s">
        <v>24</v>
      </c>
    </row>
    <row r="125" spans="1:13">
      <c r="A125" t="s">
        <v>279</v>
      </c>
      <c r="B125" t="s">
        <v>280</v>
      </c>
      <c r="C125" s="8">
        <f ca="1" t="shared" si="28"/>
        <v>46033</v>
      </c>
      <c r="D125" t="s">
        <v>270</v>
      </c>
      <c r="E125" s="10" t="s">
        <v>18</v>
      </c>
      <c r="F125" s="10" t="s">
        <v>19</v>
      </c>
      <c r="G125" s="10">
        <v>2500</v>
      </c>
      <c r="H125">
        <v>50</v>
      </c>
      <c r="I125" s="10">
        <v>5000</v>
      </c>
      <c r="J125" s="11">
        <f ca="1" t="shared" si="29"/>
        <v>16</v>
      </c>
      <c r="K125" s="10">
        <f ca="1" t="shared" si="16"/>
        <v>40000</v>
      </c>
      <c r="L125" s="10">
        <f ca="1" t="shared" si="17"/>
        <v>80000</v>
      </c>
      <c r="M125" t="s">
        <v>30</v>
      </c>
    </row>
    <row r="126" spans="1:13">
      <c r="A126" t="s">
        <v>281</v>
      </c>
      <c r="B126" t="s">
        <v>282</v>
      </c>
      <c r="C126" s="8">
        <f ca="1" t="shared" si="28"/>
        <v>46082</v>
      </c>
      <c r="D126" t="s">
        <v>270</v>
      </c>
      <c r="E126" s="10" t="s">
        <v>23</v>
      </c>
      <c r="F126" s="10" t="s">
        <v>33</v>
      </c>
      <c r="G126" s="10">
        <v>3500</v>
      </c>
      <c r="H126">
        <v>37</v>
      </c>
      <c r="I126" s="10">
        <v>8000</v>
      </c>
      <c r="J126" s="11">
        <f ca="1" t="shared" si="29"/>
        <v>19</v>
      </c>
      <c r="K126" s="10">
        <f ca="1" t="shared" si="16"/>
        <v>66500</v>
      </c>
      <c r="L126" s="10">
        <f ca="1" t="shared" si="17"/>
        <v>152000</v>
      </c>
      <c r="M126" t="s">
        <v>30</v>
      </c>
    </row>
    <row r="127" spans="1:13">
      <c r="A127" t="s">
        <v>283</v>
      </c>
      <c r="B127" t="s">
        <v>284</v>
      </c>
      <c r="C127" s="8">
        <f ca="1" t="shared" si="28"/>
        <v>46078</v>
      </c>
      <c r="D127" t="s">
        <v>285</v>
      </c>
      <c r="E127" s="10" t="s">
        <v>18</v>
      </c>
      <c r="F127" s="10" t="s">
        <v>36</v>
      </c>
      <c r="G127" s="10">
        <v>5000</v>
      </c>
      <c r="H127">
        <v>51</v>
      </c>
      <c r="I127" s="10">
        <v>10000</v>
      </c>
      <c r="J127" s="11">
        <f ca="1" t="shared" si="29"/>
        <v>18</v>
      </c>
      <c r="K127" s="10">
        <f ca="1" t="shared" si="16"/>
        <v>90000</v>
      </c>
      <c r="L127" s="10">
        <f ca="1" t="shared" si="17"/>
        <v>180000</v>
      </c>
      <c r="M127" t="s">
        <v>30</v>
      </c>
    </row>
    <row r="128" spans="1:13">
      <c r="A128" t="s">
        <v>286</v>
      </c>
      <c r="B128" t="s">
        <v>287</v>
      </c>
      <c r="C128" s="8">
        <f ca="1" t="shared" si="28"/>
        <v>46088</v>
      </c>
      <c r="D128" t="s">
        <v>285</v>
      </c>
      <c r="E128" s="10" t="s">
        <v>23</v>
      </c>
      <c r="F128" s="10" t="s">
        <v>19</v>
      </c>
      <c r="G128" s="10">
        <v>3000</v>
      </c>
      <c r="H128">
        <v>32</v>
      </c>
      <c r="I128" s="10">
        <v>6000</v>
      </c>
      <c r="J128" s="11">
        <f ca="1" t="shared" si="29"/>
        <v>19</v>
      </c>
      <c r="K128" s="10">
        <f ca="1" t="shared" si="16"/>
        <v>57000</v>
      </c>
      <c r="L128" s="10">
        <f ca="1" t="shared" si="17"/>
        <v>114000</v>
      </c>
      <c r="M128" t="s">
        <v>30</v>
      </c>
    </row>
    <row r="129" spans="1:13">
      <c r="A129" t="s">
        <v>288</v>
      </c>
      <c r="B129" t="s">
        <v>289</v>
      </c>
      <c r="C129" s="8">
        <f ca="1" t="shared" si="28"/>
        <v>46125</v>
      </c>
      <c r="D129" t="s">
        <v>285</v>
      </c>
      <c r="E129" s="10" t="s">
        <v>23</v>
      </c>
      <c r="F129" s="10" t="s">
        <v>36</v>
      </c>
      <c r="G129" s="10">
        <v>3500</v>
      </c>
      <c r="H129">
        <v>31</v>
      </c>
      <c r="I129" s="10">
        <v>6000</v>
      </c>
      <c r="J129" s="11">
        <f ca="1" t="shared" si="29"/>
        <v>15</v>
      </c>
      <c r="K129" s="10">
        <f ca="1" t="shared" si="16"/>
        <v>52500</v>
      </c>
      <c r="L129" s="10">
        <f ca="1" t="shared" si="17"/>
        <v>90000</v>
      </c>
      <c r="M129" t="s">
        <v>30</v>
      </c>
    </row>
    <row r="130" spans="1:13">
      <c r="A130" t="s">
        <v>290</v>
      </c>
      <c r="B130" t="s">
        <v>291</v>
      </c>
      <c r="C130" s="8">
        <f ca="1" t="shared" si="28"/>
        <v>46023</v>
      </c>
      <c r="D130" t="s">
        <v>285</v>
      </c>
      <c r="E130" s="10" t="s">
        <v>18</v>
      </c>
      <c r="F130" s="10" t="s">
        <v>43</v>
      </c>
      <c r="G130" s="10">
        <v>4000</v>
      </c>
      <c r="H130">
        <v>32</v>
      </c>
      <c r="I130" s="10">
        <v>8000</v>
      </c>
      <c r="J130" s="11">
        <f ca="1" t="shared" si="29"/>
        <v>18</v>
      </c>
      <c r="K130" s="10">
        <f ca="1" t="shared" si="16"/>
        <v>72000</v>
      </c>
      <c r="L130" s="10">
        <f ca="1" t="shared" si="17"/>
        <v>144000</v>
      </c>
      <c r="M130" t="s">
        <v>20</v>
      </c>
    </row>
    <row r="131" spans="1:13">
      <c r="A131" t="s">
        <v>292</v>
      </c>
      <c r="B131" t="s">
        <v>293</v>
      </c>
      <c r="C131" s="8">
        <f ca="1" t="shared" si="28"/>
        <v>46130</v>
      </c>
      <c r="D131" t="s">
        <v>285</v>
      </c>
      <c r="E131" s="10" t="s">
        <v>23</v>
      </c>
      <c r="F131" s="10" t="s">
        <v>43</v>
      </c>
      <c r="G131" s="10">
        <v>6000</v>
      </c>
      <c r="H131">
        <v>67</v>
      </c>
      <c r="I131" s="10">
        <v>9000</v>
      </c>
      <c r="J131" s="11">
        <f ca="1" t="shared" si="29"/>
        <v>19</v>
      </c>
      <c r="K131" s="10">
        <f ca="1" t="shared" ref="K131:K194" si="30">G131*J131</f>
        <v>114000</v>
      </c>
      <c r="L131" s="10">
        <f ca="1" t="shared" ref="L131:L194" si="31">I131*J131</f>
        <v>171000</v>
      </c>
      <c r="M131" t="s">
        <v>24</v>
      </c>
    </row>
    <row r="132" spans="1:13">
      <c r="A132" t="s">
        <v>294</v>
      </c>
      <c r="B132" t="s">
        <v>295</v>
      </c>
      <c r="C132" s="8">
        <f ca="1" t="shared" si="28"/>
        <v>46042</v>
      </c>
      <c r="D132" t="s">
        <v>296</v>
      </c>
      <c r="E132" s="10" t="s">
        <v>18</v>
      </c>
      <c r="F132" s="10" t="s">
        <v>19</v>
      </c>
      <c r="G132" s="10">
        <v>10000</v>
      </c>
      <c r="H132">
        <v>49</v>
      </c>
      <c r="I132" s="10">
        <v>18000</v>
      </c>
      <c r="J132" s="11">
        <f ca="1" t="shared" si="29"/>
        <v>20</v>
      </c>
      <c r="K132" s="10">
        <f ca="1" t="shared" si="30"/>
        <v>200000</v>
      </c>
      <c r="L132" s="10">
        <f ca="1" t="shared" si="31"/>
        <v>360000</v>
      </c>
      <c r="M132" t="s">
        <v>20</v>
      </c>
    </row>
    <row r="133" spans="1:13">
      <c r="A133" t="s">
        <v>297</v>
      </c>
      <c r="B133" t="s">
        <v>298</v>
      </c>
      <c r="C133" s="8">
        <f ca="1" t="shared" ref="C133:C142" si="32">RANDBETWEEN(DATE(2026,1,1),DATE(2026,4,30))</f>
        <v>46087</v>
      </c>
      <c r="D133" t="s">
        <v>296</v>
      </c>
      <c r="E133" s="10" t="s">
        <v>23</v>
      </c>
      <c r="F133" s="10" t="s">
        <v>33</v>
      </c>
      <c r="G133" s="10">
        <v>12000</v>
      </c>
      <c r="H133">
        <v>62</v>
      </c>
      <c r="I133" s="10">
        <v>20000</v>
      </c>
      <c r="J133" s="11">
        <f ca="1" t="shared" ref="J133:J142" si="33">RANDBETWEEN(15,20)</f>
        <v>16</v>
      </c>
      <c r="K133" s="10">
        <f ca="1" t="shared" si="30"/>
        <v>192000</v>
      </c>
      <c r="L133" s="10">
        <f ca="1" t="shared" si="31"/>
        <v>320000</v>
      </c>
      <c r="M133" t="s">
        <v>30</v>
      </c>
    </row>
    <row r="134" spans="1:13">
      <c r="A134" t="s">
        <v>299</v>
      </c>
      <c r="B134" t="s">
        <v>300</v>
      </c>
      <c r="C134" s="8">
        <f ca="1" t="shared" si="32"/>
        <v>46125</v>
      </c>
      <c r="D134" t="s">
        <v>296</v>
      </c>
      <c r="E134" s="10" t="s">
        <v>23</v>
      </c>
      <c r="F134" s="10" t="s">
        <v>52</v>
      </c>
      <c r="G134" s="10">
        <v>12000</v>
      </c>
      <c r="H134">
        <v>56</v>
      </c>
      <c r="I134" s="10">
        <v>20000</v>
      </c>
      <c r="J134" s="11">
        <f ca="1" t="shared" si="33"/>
        <v>20</v>
      </c>
      <c r="K134" s="10">
        <f ca="1" t="shared" si="30"/>
        <v>240000</v>
      </c>
      <c r="L134" s="10">
        <f ca="1" t="shared" si="31"/>
        <v>400000</v>
      </c>
      <c r="M134" t="s">
        <v>20</v>
      </c>
    </row>
    <row r="135" spans="1:13">
      <c r="A135" t="s">
        <v>301</v>
      </c>
      <c r="B135" t="s">
        <v>302</v>
      </c>
      <c r="C135" s="8">
        <f ca="1" t="shared" si="32"/>
        <v>46134</v>
      </c>
      <c r="D135" t="s">
        <v>296</v>
      </c>
      <c r="E135" s="10" t="s">
        <v>18</v>
      </c>
      <c r="F135" s="10" t="s">
        <v>52</v>
      </c>
      <c r="G135" s="10">
        <v>12000</v>
      </c>
      <c r="H135">
        <v>63</v>
      </c>
      <c r="I135" s="10">
        <v>20000</v>
      </c>
      <c r="J135" s="11">
        <f ca="1" t="shared" si="33"/>
        <v>18</v>
      </c>
      <c r="K135" s="10">
        <f ca="1" t="shared" si="30"/>
        <v>216000</v>
      </c>
      <c r="L135" s="10">
        <f ca="1" t="shared" si="31"/>
        <v>360000</v>
      </c>
      <c r="M135" t="s">
        <v>24</v>
      </c>
    </row>
    <row r="136" spans="1:13">
      <c r="A136" t="s">
        <v>303</v>
      </c>
      <c r="B136" t="s">
        <v>304</v>
      </c>
      <c r="C136" s="8">
        <f ca="1" t="shared" si="32"/>
        <v>46044</v>
      </c>
      <c r="D136" t="s">
        <v>296</v>
      </c>
      <c r="E136" s="10" t="s">
        <v>23</v>
      </c>
      <c r="F136" s="10" t="s">
        <v>19</v>
      </c>
      <c r="G136" s="10">
        <v>10000</v>
      </c>
      <c r="H136">
        <v>46</v>
      </c>
      <c r="I136" s="10">
        <v>18000</v>
      </c>
      <c r="J136" s="11">
        <f ca="1" t="shared" si="33"/>
        <v>18</v>
      </c>
      <c r="K136" s="10">
        <f ca="1" t="shared" si="30"/>
        <v>180000</v>
      </c>
      <c r="L136" s="10">
        <f ca="1" t="shared" si="31"/>
        <v>324000</v>
      </c>
      <c r="M136" t="s">
        <v>20</v>
      </c>
    </row>
    <row r="137" spans="1:13">
      <c r="A137" t="s">
        <v>305</v>
      </c>
      <c r="B137" t="s">
        <v>306</v>
      </c>
      <c r="C137" s="8">
        <f ca="1" t="shared" si="32"/>
        <v>46052</v>
      </c>
      <c r="D137" t="s">
        <v>296</v>
      </c>
      <c r="E137" s="10" t="s">
        <v>18</v>
      </c>
      <c r="F137" s="10" t="s">
        <v>19</v>
      </c>
      <c r="G137" s="10">
        <v>8000</v>
      </c>
      <c r="H137">
        <v>66</v>
      </c>
      <c r="I137" s="10">
        <v>15000</v>
      </c>
      <c r="J137" s="11">
        <f ca="1" t="shared" si="33"/>
        <v>19</v>
      </c>
      <c r="K137" s="10">
        <f ca="1" t="shared" si="30"/>
        <v>152000</v>
      </c>
      <c r="L137" s="10">
        <f ca="1" t="shared" si="31"/>
        <v>285000</v>
      </c>
      <c r="M137" t="s">
        <v>30</v>
      </c>
    </row>
    <row r="138" spans="1:13">
      <c r="A138" t="s">
        <v>307</v>
      </c>
      <c r="B138" t="s">
        <v>308</v>
      </c>
      <c r="C138" s="8">
        <f ca="1" t="shared" si="32"/>
        <v>46024</v>
      </c>
      <c r="D138" t="s">
        <v>296</v>
      </c>
      <c r="E138" s="10" t="s">
        <v>23</v>
      </c>
      <c r="F138" s="10" t="s">
        <v>19</v>
      </c>
      <c r="G138" s="10">
        <v>8000</v>
      </c>
      <c r="H138">
        <v>51</v>
      </c>
      <c r="I138" s="10">
        <v>15000</v>
      </c>
      <c r="J138" s="11">
        <f ca="1" t="shared" si="33"/>
        <v>15</v>
      </c>
      <c r="K138" s="10">
        <f ca="1" t="shared" si="30"/>
        <v>120000</v>
      </c>
      <c r="L138" s="10">
        <f ca="1" t="shared" si="31"/>
        <v>225000</v>
      </c>
      <c r="M138" t="s">
        <v>30</v>
      </c>
    </row>
    <row r="139" spans="1:13">
      <c r="A139" t="s">
        <v>309</v>
      </c>
      <c r="B139" t="s">
        <v>310</v>
      </c>
      <c r="C139" s="8">
        <f ca="1" t="shared" si="32"/>
        <v>46043</v>
      </c>
      <c r="D139" t="s">
        <v>296</v>
      </c>
      <c r="E139" s="10" t="s">
        <v>23</v>
      </c>
      <c r="F139" s="10" t="s">
        <v>19</v>
      </c>
      <c r="G139" s="10">
        <v>25000</v>
      </c>
      <c r="H139">
        <v>32</v>
      </c>
      <c r="I139" s="10">
        <v>45000</v>
      </c>
      <c r="J139" s="11">
        <f ca="1" t="shared" si="33"/>
        <v>20</v>
      </c>
      <c r="K139" s="10">
        <f ca="1" t="shared" si="30"/>
        <v>500000</v>
      </c>
      <c r="L139" s="10">
        <f ca="1" t="shared" si="31"/>
        <v>900000</v>
      </c>
      <c r="M139" t="s">
        <v>20</v>
      </c>
    </row>
    <row r="140" spans="1:13">
      <c r="A140" t="s">
        <v>311</v>
      </c>
      <c r="B140" t="s">
        <v>312</v>
      </c>
      <c r="C140" s="8">
        <f ca="1" t="shared" si="32"/>
        <v>46128</v>
      </c>
      <c r="D140" t="s">
        <v>313</v>
      </c>
      <c r="E140" s="10" t="s">
        <v>18</v>
      </c>
      <c r="F140" s="10" t="s">
        <v>19</v>
      </c>
      <c r="G140" s="10">
        <v>12000</v>
      </c>
      <c r="H140">
        <v>65</v>
      </c>
      <c r="I140" s="10">
        <v>18000</v>
      </c>
      <c r="J140" s="11">
        <f ca="1" t="shared" si="33"/>
        <v>19</v>
      </c>
      <c r="K140" s="10">
        <f ca="1" t="shared" si="30"/>
        <v>228000</v>
      </c>
      <c r="L140" s="10">
        <f ca="1" t="shared" si="31"/>
        <v>342000</v>
      </c>
      <c r="M140" t="s">
        <v>20</v>
      </c>
    </row>
    <row r="141" spans="1:13">
      <c r="A141" t="s">
        <v>314</v>
      </c>
      <c r="B141" t="s">
        <v>315</v>
      </c>
      <c r="C141" s="8">
        <f ca="1" t="shared" si="32"/>
        <v>46101</v>
      </c>
      <c r="D141" t="s">
        <v>313</v>
      </c>
      <c r="E141" s="10" t="s">
        <v>23</v>
      </c>
      <c r="F141" s="10" t="s">
        <v>33</v>
      </c>
      <c r="G141" s="10">
        <v>11000</v>
      </c>
      <c r="H141">
        <v>41</v>
      </c>
      <c r="I141" s="10">
        <v>16000</v>
      </c>
      <c r="J141" s="11">
        <f ca="1" t="shared" si="33"/>
        <v>17</v>
      </c>
      <c r="K141" s="10">
        <f ca="1" t="shared" si="30"/>
        <v>187000</v>
      </c>
      <c r="L141" s="10">
        <f ca="1" t="shared" si="31"/>
        <v>272000</v>
      </c>
      <c r="M141" t="s">
        <v>20</v>
      </c>
    </row>
    <row r="142" spans="1:13">
      <c r="A142" t="s">
        <v>316</v>
      </c>
      <c r="B142" t="s">
        <v>317</v>
      </c>
      <c r="C142" s="8">
        <f ca="1" t="shared" si="32"/>
        <v>46106</v>
      </c>
      <c r="D142" t="s">
        <v>313</v>
      </c>
      <c r="E142" s="10" t="s">
        <v>18</v>
      </c>
      <c r="F142" s="10" t="s">
        <v>36</v>
      </c>
      <c r="G142" s="10">
        <v>2000</v>
      </c>
      <c r="H142">
        <v>50</v>
      </c>
      <c r="I142" s="10">
        <v>3500</v>
      </c>
      <c r="J142" s="11">
        <f ca="1" t="shared" si="33"/>
        <v>19</v>
      </c>
      <c r="K142" s="10">
        <f ca="1" t="shared" si="30"/>
        <v>38000</v>
      </c>
      <c r="L142" s="10">
        <f ca="1" t="shared" si="31"/>
        <v>66500</v>
      </c>
      <c r="M142" t="s">
        <v>20</v>
      </c>
    </row>
    <row r="143" spans="1:13">
      <c r="A143" t="s">
        <v>318</v>
      </c>
      <c r="B143" t="s">
        <v>319</v>
      </c>
      <c r="C143" s="8">
        <f ca="1" t="shared" ref="C143:C152" si="34">RANDBETWEEN(DATE(2026,1,1),DATE(2026,4,30))</f>
        <v>46087</v>
      </c>
      <c r="D143" t="s">
        <v>320</v>
      </c>
      <c r="E143" s="10" t="s">
        <v>23</v>
      </c>
      <c r="F143" s="10" t="s">
        <v>19</v>
      </c>
      <c r="G143" s="10">
        <v>1100</v>
      </c>
      <c r="H143">
        <v>61</v>
      </c>
      <c r="I143" s="10">
        <v>2000</v>
      </c>
      <c r="J143" s="11">
        <f ca="1" t="shared" ref="J143:J152" si="35">RANDBETWEEN(15,20)</f>
        <v>15</v>
      </c>
      <c r="K143" s="10">
        <f ca="1" t="shared" si="30"/>
        <v>16500</v>
      </c>
      <c r="L143" s="10">
        <f ca="1" t="shared" si="31"/>
        <v>30000</v>
      </c>
      <c r="M143" t="s">
        <v>20</v>
      </c>
    </row>
    <row r="144" spans="1:13">
      <c r="A144" t="s">
        <v>321</v>
      </c>
      <c r="B144" t="s">
        <v>322</v>
      </c>
      <c r="C144" s="8">
        <f ca="1" t="shared" si="34"/>
        <v>46031</v>
      </c>
      <c r="D144" t="s">
        <v>320</v>
      </c>
      <c r="E144" s="10" t="s">
        <v>23</v>
      </c>
      <c r="F144" s="10" t="s">
        <v>36</v>
      </c>
      <c r="G144" s="10">
        <v>1250</v>
      </c>
      <c r="H144">
        <v>42</v>
      </c>
      <c r="I144" s="10">
        <v>2500</v>
      </c>
      <c r="J144" s="11">
        <f ca="1" t="shared" si="35"/>
        <v>20</v>
      </c>
      <c r="K144" s="10">
        <f ca="1" t="shared" si="30"/>
        <v>25000</v>
      </c>
      <c r="L144" s="10">
        <f ca="1" t="shared" si="31"/>
        <v>50000</v>
      </c>
      <c r="M144" t="s">
        <v>24</v>
      </c>
    </row>
    <row r="145" spans="1:13">
      <c r="A145" t="s">
        <v>323</v>
      </c>
      <c r="B145" t="s">
        <v>324</v>
      </c>
      <c r="C145" s="8">
        <f ca="1" t="shared" si="34"/>
        <v>46080</v>
      </c>
      <c r="D145" t="s">
        <v>320</v>
      </c>
      <c r="E145" s="10" t="s">
        <v>18</v>
      </c>
      <c r="F145" s="10" t="s">
        <v>43</v>
      </c>
      <c r="G145" s="10">
        <v>1100</v>
      </c>
      <c r="H145">
        <v>38</v>
      </c>
      <c r="I145" s="10">
        <v>2000</v>
      </c>
      <c r="J145" s="11">
        <f ca="1" t="shared" si="35"/>
        <v>15</v>
      </c>
      <c r="K145" s="10">
        <f ca="1" t="shared" si="30"/>
        <v>16500</v>
      </c>
      <c r="L145" s="10">
        <f ca="1" t="shared" si="31"/>
        <v>30000</v>
      </c>
      <c r="M145" t="s">
        <v>24</v>
      </c>
    </row>
    <row r="146" spans="1:13">
      <c r="A146" t="s">
        <v>325</v>
      </c>
      <c r="B146" t="s">
        <v>326</v>
      </c>
      <c r="C146" s="8">
        <f ca="1" t="shared" si="34"/>
        <v>46105</v>
      </c>
      <c r="D146" t="s">
        <v>320</v>
      </c>
      <c r="E146" s="10" t="s">
        <v>23</v>
      </c>
      <c r="F146" s="10" t="s">
        <v>43</v>
      </c>
      <c r="G146" s="10">
        <v>850</v>
      </c>
      <c r="H146">
        <v>42</v>
      </c>
      <c r="I146" s="10">
        <v>1500</v>
      </c>
      <c r="J146" s="11">
        <f ca="1" t="shared" si="35"/>
        <v>18</v>
      </c>
      <c r="K146" s="10">
        <f ca="1" t="shared" si="30"/>
        <v>15300</v>
      </c>
      <c r="L146" s="10">
        <f ca="1" t="shared" si="31"/>
        <v>27000</v>
      </c>
      <c r="M146" t="s">
        <v>24</v>
      </c>
    </row>
    <row r="147" spans="1:13">
      <c r="A147" t="s">
        <v>327</v>
      </c>
      <c r="B147" t="s">
        <v>328</v>
      </c>
      <c r="C147" s="8">
        <f ca="1" t="shared" si="34"/>
        <v>46125</v>
      </c>
      <c r="D147" t="s">
        <v>320</v>
      </c>
      <c r="E147" s="10" t="s">
        <v>18</v>
      </c>
      <c r="F147" s="10" t="s">
        <v>19</v>
      </c>
      <c r="G147" s="10">
        <v>650</v>
      </c>
      <c r="H147">
        <v>63</v>
      </c>
      <c r="I147" s="10">
        <v>1000</v>
      </c>
      <c r="J147" s="11">
        <f ca="1" t="shared" si="35"/>
        <v>20</v>
      </c>
      <c r="K147" s="10">
        <f ca="1" t="shared" si="30"/>
        <v>13000</v>
      </c>
      <c r="L147" s="10">
        <f ca="1" t="shared" si="31"/>
        <v>20000</v>
      </c>
      <c r="M147" t="s">
        <v>30</v>
      </c>
    </row>
    <row r="148" spans="1:13">
      <c r="A148" t="s">
        <v>329</v>
      </c>
      <c r="B148" t="s">
        <v>330</v>
      </c>
      <c r="C148" s="8">
        <f ca="1" t="shared" si="34"/>
        <v>46123</v>
      </c>
      <c r="D148" t="s">
        <v>320</v>
      </c>
      <c r="E148" s="10" t="s">
        <v>23</v>
      </c>
      <c r="F148" s="10" t="s">
        <v>33</v>
      </c>
      <c r="G148" s="10">
        <v>650</v>
      </c>
      <c r="H148">
        <v>37</v>
      </c>
      <c r="I148" s="10">
        <v>1000</v>
      </c>
      <c r="J148" s="11">
        <f ca="1" t="shared" si="35"/>
        <v>17</v>
      </c>
      <c r="K148" s="10">
        <f ca="1" t="shared" si="30"/>
        <v>11050</v>
      </c>
      <c r="L148" s="10">
        <f ca="1" t="shared" si="31"/>
        <v>17000</v>
      </c>
      <c r="M148" t="s">
        <v>30</v>
      </c>
    </row>
    <row r="149" spans="1:13">
      <c r="A149" t="s">
        <v>331</v>
      </c>
      <c r="B149" t="s">
        <v>332</v>
      </c>
      <c r="C149" s="8">
        <f ca="1" t="shared" si="34"/>
        <v>46033</v>
      </c>
      <c r="D149" t="s">
        <v>320</v>
      </c>
      <c r="E149" s="10" t="s">
        <v>23</v>
      </c>
      <c r="F149" s="10" t="s">
        <v>52</v>
      </c>
      <c r="G149" s="10">
        <v>650</v>
      </c>
      <c r="H149">
        <v>44</v>
      </c>
      <c r="I149" s="10">
        <v>1000</v>
      </c>
      <c r="J149" s="11">
        <f ca="1" t="shared" si="35"/>
        <v>18</v>
      </c>
      <c r="K149" s="10">
        <f ca="1" t="shared" si="30"/>
        <v>11700</v>
      </c>
      <c r="L149" s="10">
        <f ca="1" t="shared" si="31"/>
        <v>18000</v>
      </c>
      <c r="M149" t="s">
        <v>30</v>
      </c>
    </row>
    <row r="150" spans="1:13">
      <c r="A150" t="s">
        <v>333</v>
      </c>
      <c r="B150" t="s">
        <v>334</v>
      </c>
      <c r="C150" s="8">
        <f ca="1" t="shared" si="34"/>
        <v>46128</v>
      </c>
      <c r="D150" t="s">
        <v>320</v>
      </c>
      <c r="E150" s="10" t="s">
        <v>18</v>
      </c>
      <c r="F150" s="10" t="s">
        <v>52</v>
      </c>
      <c r="G150" s="10">
        <v>50</v>
      </c>
      <c r="H150">
        <v>48</v>
      </c>
      <c r="I150" s="10">
        <v>200</v>
      </c>
      <c r="J150" s="11">
        <f ca="1" t="shared" si="35"/>
        <v>17</v>
      </c>
      <c r="K150" s="10">
        <f ca="1" t="shared" si="30"/>
        <v>850</v>
      </c>
      <c r="L150" s="10">
        <f ca="1" t="shared" si="31"/>
        <v>3400</v>
      </c>
      <c r="M150" t="s">
        <v>30</v>
      </c>
    </row>
    <row r="151" spans="1:13">
      <c r="A151" t="s">
        <v>335</v>
      </c>
      <c r="B151" t="s">
        <v>336</v>
      </c>
      <c r="C151" s="8">
        <f ca="1" t="shared" si="34"/>
        <v>46065</v>
      </c>
      <c r="D151" t="s">
        <v>320</v>
      </c>
      <c r="E151" s="10" t="s">
        <v>23</v>
      </c>
      <c r="F151" s="10" t="s">
        <v>19</v>
      </c>
      <c r="G151" s="10">
        <v>50</v>
      </c>
      <c r="H151">
        <v>59</v>
      </c>
      <c r="I151" s="10">
        <v>200</v>
      </c>
      <c r="J151" s="11">
        <f ca="1" t="shared" si="35"/>
        <v>20</v>
      </c>
      <c r="K151" s="10">
        <f ca="1" t="shared" si="30"/>
        <v>1000</v>
      </c>
      <c r="L151" s="10">
        <f ca="1" t="shared" si="31"/>
        <v>4000</v>
      </c>
      <c r="M151" t="s">
        <v>30</v>
      </c>
    </row>
    <row r="152" spans="1:13">
      <c r="A152" t="s">
        <v>337</v>
      </c>
      <c r="B152" t="s">
        <v>338</v>
      </c>
      <c r="C152" s="8">
        <f ca="1" t="shared" si="34"/>
        <v>46077</v>
      </c>
      <c r="D152" t="s">
        <v>320</v>
      </c>
      <c r="E152" s="10" t="s">
        <v>18</v>
      </c>
      <c r="F152" s="10" t="s">
        <v>19</v>
      </c>
      <c r="G152" s="10">
        <v>200</v>
      </c>
      <c r="H152">
        <v>41</v>
      </c>
      <c r="I152" s="10">
        <v>500</v>
      </c>
      <c r="J152" s="11">
        <f ca="1" t="shared" si="35"/>
        <v>18</v>
      </c>
      <c r="K152" s="10">
        <f ca="1" t="shared" si="30"/>
        <v>3600</v>
      </c>
      <c r="L152" s="10">
        <f ca="1" t="shared" si="31"/>
        <v>9000</v>
      </c>
      <c r="M152" t="s">
        <v>20</v>
      </c>
    </row>
    <row r="153" spans="1:13">
      <c r="A153" t="s">
        <v>339</v>
      </c>
      <c r="B153" t="s">
        <v>340</v>
      </c>
      <c r="C153" s="8">
        <f ca="1" t="shared" ref="C153:C162" si="36">RANDBETWEEN(DATE(2026,1,1),DATE(2026,4,30))</f>
        <v>46093</v>
      </c>
      <c r="D153" t="s">
        <v>341</v>
      </c>
      <c r="E153" s="10" t="s">
        <v>23</v>
      </c>
      <c r="F153" s="10" t="s">
        <v>19</v>
      </c>
      <c r="G153" s="10">
        <v>18000</v>
      </c>
      <c r="H153">
        <v>37</v>
      </c>
      <c r="I153" s="10">
        <v>27000</v>
      </c>
      <c r="J153" s="11">
        <f ca="1" t="shared" ref="J153:J162" si="37">RANDBETWEEN(15,20)</f>
        <v>15</v>
      </c>
      <c r="K153" s="10">
        <f ca="1" t="shared" si="30"/>
        <v>270000</v>
      </c>
      <c r="L153" s="10">
        <f ca="1" t="shared" si="31"/>
        <v>405000</v>
      </c>
      <c r="M153" t="s">
        <v>24</v>
      </c>
    </row>
    <row r="154" spans="1:13">
      <c r="A154" t="s">
        <v>342</v>
      </c>
      <c r="B154" t="s">
        <v>343</v>
      </c>
      <c r="C154" s="8">
        <f ca="1" t="shared" si="36"/>
        <v>46057</v>
      </c>
      <c r="D154" t="s">
        <v>341</v>
      </c>
      <c r="E154" s="10" t="s">
        <v>23</v>
      </c>
      <c r="F154" s="10" t="s">
        <v>19</v>
      </c>
      <c r="G154" s="10">
        <v>15000</v>
      </c>
      <c r="H154">
        <v>52</v>
      </c>
      <c r="I154" s="10">
        <v>30000</v>
      </c>
      <c r="J154" s="11">
        <f ca="1" t="shared" si="37"/>
        <v>15</v>
      </c>
      <c r="K154" s="10">
        <f ca="1" t="shared" si="30"/>
        <v>225000</v>
      </c>
      <c r="L154" s="10">
        <f ca="1" t="shared" si="31"/>
        <v>450000</v>
      </c>
      <c r="M154" t="s">
        <v>20</v>
      </c>
    </row>
    <row r="155" spans="1:13">
      <c r="A155" t="s">
        <v>344</v>
      </c>
      <c r="B155" t="s">
        <v>345</v>
      </c>
      <c r="C155" s="8">
        <f ca="1" t="shared" si="36"/>
        <v>46048</v>
      </c>
      <c r="D155" t="s">
        <v>341</v>
      </c>
      <c r="E155" s="10" t="s">
        <v>18</v>
      </c>
      <c r="F155" s="10" t="s">
        <v>19</v>
      </c>
      <c r="G155" s="10">
        <v>25000</v>
      </c>
      <c r="H155">
        <v>47</v>
      </c>
      <c r="I155" s="10">
        <v>35000</v>
      </c>
      <c r="J155" s="11">
        <f ca="1" t="shared" si="37"/>
        <v>19</v>
      </c>
      <c r="K155" s="10">
        <f ca="1" t="shared" si="30"/>
        <v>475000</v>
      </c>
      <c r="L155" s="10">
        <f ca="1" t="shared" si="31"/>
        <v>665000</v>
      </c>
      <c r="M155" t="s">
        <v>30</v>
      </c>
    </row>
    <row r="156" spans="1:13">
      <c r="A156" t="s">
        <v>346</v>
      </c>
      <c r="B156" t="s">
        <v>347</v>
      </c>
      <c r="C156" s="8">
        <f ca="1" t="shared" si="36"/>
        <v>46095</v>
      </c>
      <c r="D156" t="s">
        <v>341</v>
      </c>
      <c r="E156" s="10" t="s">
        <v>23</v>
      </c>
      <c r="F156" s="10" t="s">
        <v>33</v>
      </c>
      <c r="G156" s="10">
        <v>30000</v>
      </c>
      <c r="H156">
        <v>30</v>
      </c>
      <c r="I156" s="10">
        <v>45000</v>
      </c>
      <c r="J156" s="11">
        <f ca="1" t="shared" si="37"/>
        <v>17</v>
      </c>
      <c r="K156" s="10">
        <f ca="1" t="shared" si="30"/>
        <v>510000</v>
      </c>
      <c r="L156" s="10">
        <f ca="1" t="shared" si="31"/>
        <v>765000</v>
      </c>
      <c r="M156" t="s">
        <v>20</v>
      </c>
    </row>
    <row r="157" spans="1:13">
      <c r="A157" t="s">
        <v>348</v>
      </c>
      <c r="B157" t="s">
        <v>349</v>
      </c>
      <c r="C157" s="8">
        <f ca="1" t="shared" si="36"/>
        <v>46135</v>
      </c>
      <c r="D157" t="s">
        <v>341</v>
      </c>
      <c r="E157" s="10" t="s">
        <v>18</v>
      </c>
      <c r="F157" s="10" t="s">
        <v>36</v>
      </c>
      <c r="G157" s="10">
        <v>25000</v>
      </c>
      <c r="H157">
        <v>55</v>
      </c>
      <c r="I157" s="10">
        <v>50000</v>
      </c>
      <c r="J157" s="11">
        <f ca="1" t="shared" si="37"/>
        <v>19</v>
      </c>
      <c r="K157" s="10">
        <f ca="1" t="shared" si="30"/>
        <v>475000</v>
      </c>
      <c r="L157" s="10">
        <f ca="1" t="shared" si="31"/>
        <v>950000</v>
      </c>
      <c r="M157" t="s">
        <v>24</v>
      </c>
    </row>
    <row r="158" spans="1:13">
      <c r="A158" t="s">
        <v>350</v>
      </c>
      <c r="B158" t="s">
        <v>351</v>
      </c>
      <c r="C158" s="8">
        <f ca="1" t="shared" si="36"/>
        <v>46046</v>
      </c>
      <c r="D158" t="s">
        <v>341</v>
      </c>
      <c r="E158" s="10" t="s">
        <v>23</v>
      </c>
      <c r="F158" s="10" t="s">
        <v>19</v>
      </c>
      <c r="G158" s="10">
        <v>100000</v>
      </c>
      <c r="H158">
        <v>50</v>
      </c>
      <c r="I158" s="10">
        <v>120000</v>
      </c>
      <c r="J158" s="11">
        <f ca="1" t="shared" si="37"/>
        <v>18</v>
      </c>
      <c r="K158" s="10">
        <f ca="1" t="shared" si="30"/>
        <v>1800000</v>
      </c>
      <c r="L158" s="10">
        <f ca="1" t="shared" si="31"/>
        <v>2160000</v>
      </c>
      <c r="M158" t="s">
        <v>20</v>
      </c>
    </row>
    <row r="159" spans="1:13">
      <c r="A159" t="s">
        <v>352</v>
      </c>
      <c r="B159" t="s">
        <v>353</v>
      </c>
      <c r="C159" s="8">
        <f ca="1" t="shared" si="36"/>
        <v>46059</v>
      </c>
      <c r="D159" t="s">
        <v>341</v>
      </c>
      <c r="E159" s="10" t="s">
        <v>23</v>
      </c>
      <c r="F159" s="10" t="s">
        <v>36</v>
      </c>
      <c r="G159" s="10">
        <v>120000</v>
      </c>
      <c r="H159">
        <v>52</v>
      </c>
      <c r="I159" s="10">
        <v>150000</v>
      </c>
      <c r="J159" s="11">
        <f ca="1" t="shared" si="37"/>
        <v>17</v>
      </c>
      <c r="K159" s="10">
        <f ca="1" t="shared" si="30"/>
        <v>2040000</v>
      </c>
      <c r="L159" s="10">
        <f ca="1" t="shared" si="31"/>
        <v>2550000</v>
      </c>
      <c r="M159" t="s">
        <v>30</v>
      </c>
    </row>
    <row r="160" spans="1:13">
      <c r="A160" t="s">
        <v>354</v>
      </c>
      <c r="B160" t="s">
        <v>355</v>
      </c>
      <c r="C160" s="8">
        <f ca="1" t="shared" si="36"/>
        <v>46136</v>
      </c>
      <c r="D160" t="s">
        <v>356</v>
      </c>
      <c r="E160" s="10" t="s">
        <v>18</v>
      </c>
      <c r="F160" s="10" t="s">
        <v>43</v>
      </c>
      <c r="G160" s="10">
        <v>1000</v>
      </c>
      <c r="H160">
        <v>69</v>
      </c>
      <c r="I160" s="10">
        <v>2000</v>
      </c>
      <c r="J160" s="11">
        <f ca="1" t="shared" si="37"/>
        <v>20</v>
      </c>
      <c r="K160" s="10">
        <f ca="1" t="shared" si="30"/>
        <v>20000</v>
      </c>
      <c r="L160" s="10">
        <f ca="1" t="shared" si="31"/>
        <v>40000</v>
      </c>
      <c r="M160" t="s">
        <v>30</v>
      </c>
    </row>
    <row r="161" spans="1:13">
      <c r="A161" t="s">
        <v>357</v>
      </c>
      <c r="B161" t="s">
        <v>358</v>
      </c>
      <c r="C161" s="8">
        <f ca="1" t="shared" si="36"/>
        <v>46128</v>
      </c>
      <c r="D161" t="s">
        <v>356</v>
      </c>
      <c r="E161" s="10" t="s">
        <v>23</v>
      </c>
      <c r="F161" s="10" t="s">
        <v>43</v>
      </c>
      <c r="G161" s="10">
        <v>1000</v>
      </c>
      <c r="H161">
        <v>44</v>
      </c>
      <c r="I161" s="10">
        <v>2000</v>
      </c>
      <c r="J161" s="11">
        <f ca="1" t="shared" si="37"/>
        <v>16</v>
      </c>
      <c r="K161" s="10">
        <f ca="1" t="shared" si="30"/>
        <v>16000</v>
      </c>
      <c r="L161" s="10">
        <f ca="1" t="shared" si="31"/>
        <v>32000</v>
      </c>
      <c r="M161" t="s">
        <v>20</v>
      </c>
    </row>
    <row r="162" spans="1:13">
      <c r="A162" t="s">
        <v>359</v>
      </c>
      <c r="B162" t="s">
        <v>360</v>
      </c>
      <c r="C162" s="8">
        <f ca="1" t="shared" si="36"/>
        <v>46079</v>
      </c>
      <c r="D162" t="s">
        <v>17</v>
      </c>
      <c r="E162" s="10" t="s">
        <v>18</v>
      </c>
      <c r="F162" s="10" t="s">
        <v>19</v>
      </c>
      <c r="G162" s="10">
        <v>25000</v>
      </c>
      <c r="H162">
        <v>62</v>
      </c>
      <c r="I162" s="10">
        <v>30000</v>
      </c>
      <c r="J162" s="11">
        <f ca="1" t="shared" si="37"/>
        <v>16</v>
      </c>
      <c r="K162" s="10">
        <f ca="1" t="shared" si="30"/>
        <v>400000</v>
      </c>
      <c r="L162" s="10">
        <f ca="1" t="shared" si="31"/>
        <v>480000</v>
      </c>
      <c r="M162" t="s">
        <v>20</v>
      </c>
    </row>
    <row r="163" spans="1:13">
      <c r="A163" t="s">
        <v>361</v>
      </c>
      <c r="B163" t="s">
        <v>362</v>
      </c>
      <c r="C163" s="8">
        <f ca="1" t="shared" ref="C163:C172" si="38">RANDBETWEEN(DATE(2026,1,1),DATE(2026,4,30))</f>
        <v>46112</v>
      </c>
      <c r="D163" t="s">
        <v>17</v>
      </c>
      <c r="E163" s="10" t="s">
        <v>23</v>
      </c>
      <c r="F163" s="10" t="s">
        <v>33</v>
      </c>
      <c r="G163" s="10">
        <v>35000</v>
      </c>
      <c r="H163">
        <v>53</v>
      </c>
      <c r="I163" s="10">
        <v>60000</v>
      </c>
      <c r="J163" s="11">
        <f ca="1" t="shared" ref="J163:J172" si="39">RANDBETWEEN(15,20)</f>
        <v>18</v>
      </c>
      <c r="K163" s="10">
        <f ca="1" t="shared" si="30"/>
        <v>630000</v>
      </c>
      <c r="L163" s="10">
        <f ca="1" t="shared" si="31"/>
        <v>1080000</v>
      </c>
      <c r="M163" t="s">
        <v>20</v>
      </c>
    </row>
    <row r="164" spans="1:13">
      <c r="A164" t="s">
        <v>363</v>
      </c>
      <c r="B164" t="s">
        <v>364</v>
      </c>
      <c r="C164" s="8">
        <f ca="1" t="shared" si="38"/>
        <v>46137</v>
      </c>
      <c r="D164" t="s">
        <v>365</v>
      </c>
      <c r="E164" s="10" t="s">
        <v>23</v>
      </c>
      <c r="F164" s="10" t="s">
        <v>52</v>
      </c>
      <c r="G164" s="10">
        <v>3500</v>
      </c>
      <c r="H164">
        <v>69</v>
      </c>
      <c r="I164" s="10">
        <v>5000</v>
      </c>
      <c r="J164" s="11">
        <f ca="1" t="shared" si="39"/>
        <v>15</v>
      </c>
      <c r="K164" s="10">
        <f ca="1" t="shared" si="30"/>
        <v>52500</v>
      </c>
      <c r="L164" s="10">
        <f ca="1" t="shared" si="31"/>
        <v>75000</v>
      </c>
      <c r="M164" t="s">
        <v>20</v>
      </c>
    </row>
    <row r="165" spans="1:13">
      <c r="A165" t="s">
        <v>366</v>
      </c>
      <c r="B165" t="s">
        <v>367</v>
      </c>
      <c r="C165" s="8">
        <f ca="1" t="shared" si="38"/>
        <v>46104</v>
      </c>
      <c r="D165" t="s">
        <v>365</v>
      </c>
      <c r="E165" s="10" t="s">
        <v>18</v>
      </c>
      <c r="F165" s="10" t="s">
        <v>52</v>
      </c>
      <c r="G165" s="10">
        <v>3500</v>
      </c>
      <c r="H165">
        <v>70</v>
      </c>
      <c r="I165" s="10">
        <v>5000</v>
      </c>
      <c r="J165" s="11">
        <f ca="1" t="shared" si="39"/>
        <v>16</v>
      </c>
      <c r="K165" s="10">
        <f ca="1" t="shared" si="30"/>
        <v>56000</v>
      </c>
      <c r="L165" s="10">
        <f ca="1" t="shared" si="31"/>
        <v>80000</v>
      </c>
      <c r="M165" t="s">
        <v>20</v>
      </c>
    </row>
    <row r="166" spans="1:13">
      <c r="A166" t="s">
        <v>368</v>
      </c>
      <c r="B166" t="s">
        <v>369</v>
      </c>
      <c r="C166" s="8">
        <f ca="1" t="shared" si="38"/>
        <v>46068</v>
      </c>
      <c r="D166" t="s">
        <v>365</v>
      </c>
      <c r="E166" s="10" t="s">
        <v>23</v>
      </c>
      <c r="F166" s="10" t="s">
        <v>19</v>
      </c>
      <c r="G166" s="10">
        <v>3500</v>
      </c>
      <c r="H166">
        <v>50</v>
      </c>
      <c r="I166" s="10">
        <v>5000</v>
      </c>
      <c r="J166" s="11">
        <f ca="1" t="shared" si="39"/>
        <v>15</v>
      </c>
      <c r="K166" s="10">
        <f ca="1" t="shared" si="30"/>
        <v>52500</v>
      </c>
      <c r="L166" s="10">
        <f ca="1" t="shared" si="31"/>
        <v>75000</v>
      </c>
      <c r="M166" t="s">
        <v>24</v>
      </c>
    </row>
    <row r="167" spans="1:13">
      <c r="A167" t="s">
        <v>370</v>
      </c>
      <c r="B167" t="s">
        <v>371</v>
      </c>
      <c r="C167" s="8">
        <f ca="1" t="shared" si="38"/>
        <v>46140</v>
      </c>
      <c r="D167" t="s">
        <v>365</v>
      </c>
      <c r="E167" s="10" t="s">
        <v>18</v>
      </c>
      <c r="F167" s="10" t="s">
        <v>19</v>
      </c>
      <c r="G167" s="10">
        <v>3500</v>
      </c>
      <c r="H167">
        <v>44</v>
      </c>
      <c r="I167" s="10">
        <v>5000</v>
      </c>
      <c r="J167" s="11">
        <f ca="1" t="shared" si="39"/>
        <v>17</v>
      </c>
      <c r="K167" s="10">
        <f ca="1" t="shared" si="30"/>
        <v>59500</v>
      </c>
      <c r="L167" s="10">
        <f ca="1" t="shared" si="31"/>
        <v>85000</v>
      </c>
      <c r="M167" t="s">
        <v>24</v>
      </c>
    </row>
    <row r="168" spans="1:13">
      <c r="A168" t="s">
        <v>372</v>
      </c>
      <c r="B168" t="s">
        <v>373</v>
      </c>
      <c r="C168" s="8">
        <f ca="1" t="shared" si="38"/>
        <v>46023</v>
      </c>
      <c r="D168" t="s">
        <v>365</v>
      </c>
      <c r="E168" s="10" t="s">
        <v>23</v>
      </c>
      <c r="F168" s="10" t="s">
        <v>19</v>
      </c>
      <c r="G168" s="10">
        <v>3500</v>
      </c>
      <c r="H168">
        <v>31</v>
      </c>
      <c r="I168" s="10">
        <v>5000</v>
      </c>
      <c r="J168" s="11">
        <f ca="1" t="shared" si="39"/>
        <v>17</v>
      </c>
      <c r="K168" s="10">
        <f ca="1" t="shared" si="30"/>
        <v>59500</v>
      </c>
      <c r="L168" s="10">
        <f ca="1" t="shared" si="31"/>
        <v>85000</v>
      </c>
      <c r="M168" t="s">
        <v>24</v>
      </c>
    </row>
    <row r="169" spans="1:13">
      <c r="A169" t="s">
        <v>374</v>
      </c>
      <c r="B169" t="s">
        <v>375</v>
      </c>
      <c r="C169" s="8">
        <f ca="1" t="shared" si="38"/>
        <v>46088</v>
      </c>
      <c r="D169" t="s">
        <v>365</v>
      </c>
      <c r="E169" s="10" t="s">
        <v>23</v>
      </c>
      <c r="F169" s="10" t="s">
        <v>19</v>
      </c>
      <c r="G169" s="10">
        <v>3500</v>
      </c>
      <c r="H169">
        <v>63</v>
      </c>
      <c r="I169" s="10">
        <v>5000</v>
      </c>
      <c r="J169" s="11">
        <f ca="1" t="shared" si="39"/>
        <v>20</v>
      </c>
      <c r="K169" s="10">
        <f ca="1" t="shared" si="30"/>
        <v>70000</v>
      </c>
      <c r="L169" s="10">
        <f ca="1" t="shared" si="31"/>
        <v>100000</v>
      </c>
      <c r="M169" t="s">
        <v>30</v>
      </c>
    </row>
    <row r="170" spans="1:13">
      <c r="A170" t="s">
        <v>376</v>
      </c>
      <c r="B170" t="s">
        <v>377</v>
      </c>
      <c r="C170" s="8">
        <f ca="1" t="shared" si="38"/>
        <v>46123</v>
      </c>
      <c r="D170" t="s">
        <v>243</v>
      </c>
      <c r="E170" s="10" t="s">
        <v>18</v>
      </c>
      <c r="F170" s="10" t="s">
        <v>19</v>
      </c>
      <c r="G170" s="10">
        <v>15000</v>
      </c>
      <c r="H170">
        <v>41</v>
      </c>
      <c r="I170" s="10">
        <v>18000</v>
      </c>
      <c r="J170" s="11">
        <f ca="1" t="shared" si="39"/>
        <v>20</v>
      </c>
      <c r="K170" s="10">
        <f ca="1" t="shared" si="30"/>
        <v>300000</v>
      </c>
      <c r="L170" s="10">
        <f ca="1" t="shared" si="31"/>
        <v>360000</v>
      </c>
      <c r="M170" t="s">
        <v>30</v>
      </c>
    </row>
    <row r="171" spans="1:13">
      <c r="A171" t="s">
        <v>378</v>
      </c>
      <c r="B171" t="s">
        <v>379</v>
      </c>
      <c r="C171" s="8">
        <f ca="1" t="shared" si="38"/>
        <v>46024</v>
      </c>
      <c r="D171" t="s">
        <v>243</v>
      </c>
      <c r="E171" s="10" t="s">
        <v>23</v>
      </c>
      <c r="F171" s="10" t="s">
        <v>33</v>
      </c>
      <c r="G171" s="10">
        <v>15000</v>
      </c>
      <c r="H171">
        <v>47</v>
      </c>
      <c r="I171" s="10">
        <v>20000</v>
      </c>
      <c r="J171" s="11">
        <f ca="1" t="shared" si="39"/>
        <v>17</v>
      </c>
      <c r="K171" s="10">
        <f ca="1" t="shared" si="30"/>
        <v>255000</v>
      </c>
      <c r="L171" s="10">
        <f ca="1" t="shared" si="31"/>
        <v>340000</v>
      </c>
      <c r="M171" t="s">
        <v>30</v>
      </c>
    </row>
    <row r="172" spans="1:13">
      <c r="A172" t="s">
        <v>380</v>
      </c>
      <c r="B172" t="s">
        <v>381</v>
      </c>
      <c r="C172" s="8">
        <f ca="1" t="shared" si="38"/>
        <v>46071</v>
      </c>
      <c r="D172" t="s">
        <v>115</v>
      </c>
      <c r="E172" s="10" t="s">
        <v>18</v>
      </c>
      <c r="F172" s="10" t="s">
        <v>36</v>
      </c>
      <c r="G172" s="10">
        <v>250</v>
      </c>
      <c r="H172">
        <v>39</v>
      </c>
      <c r="I172" s="10">
        <v>500</v>
      </c>
      <c r="J172" s="11">
        <f ca="1" t="shared" si="39"/>
        <v>18</v>
      </c>
      <c r="K172" s="10">
        <f ca="1" t="shared" si="30"/>
        <v>4500</v>
      </c>
      <c r="L172" s="10">
        <f ca="1" t="shared" si="31"/>
        <v>9000</v>
      </c>
      <c r="M172" t="s">
        <v>30</v>
      </c>
    </row>
    <row r="173" spans="1:13">
      <c r="A173" t="s">
        <v>382</v>
      </c>
      <c r="B173" t="s">
        <v>383</v>
      </c>
      <c r="C173" s="8">
        <f ca="1" t="shared" ref="C173:C182" si="40">RANDBETWEEN(DATE(2026,1,1),DATE(2026,4,30))</f>
        <v>46034</v>
      </c>
      <c r="D173" t="s">
        <v>115</v>
      </c>
      <c r="E173" s="10" t="s">
        <v>23</v>
      </c>
      <c r="F173" s="10" t="s">
        <v>19</v>
      </c>
      <c r="G173" s="10">
        <v>250</v>
      </c>
      <c r="H173">
        <v>31</v>
      </c>
      <c r="I173" s="10">
        <v>500</v>
      </c>
      <c r="J173" s="11">
        <f ca="1" t="shared" ref="J173:J182" si="41">RANDBETWEEN(15,20)</f>
        <v>18</v>
      </c>
      <c r="K173" s="10">
        <f ca="1" t="shared" si="30"/>
        <v>4500</v>
      </c>
      <c r="L173" s="10">
        <f ca="1" t="shared" si="31"/>
        <v>9000</v>
      </c>
      <c r="M173" t="s">
        <v>30</v>
      </c>
    </row>
    <row r="174" spans="1:13">
      <c r="A174" t="s">
        <v>384</v>
      </c>
      <c r="B174" t="s">
        <v>385</v>
      </c>
      <c r="C174" s="8">
        <f ca="1" t="shared" si="40"/>
        <v>46113</v>
      </c>
      <c r="D174" t="s">
        <v>115</v>
      </c>
      <c r="E174" s="10" t="s">
        <v>23</v>
      </c>
      <c r="F174" s="10" t="s">
        <v>36</v>
      </c>
      <c r="G174" s="10">
        <v>250</v>
      </c>
      <c r="H174">
        <v>55</v>
      </c>
      <c r="I174" s="10">
        <v>500</v>
      </c>
      <c r="J174" s="11">
        <f ca="1" t="shared" si="41"/>
        <v>15</v>
      </c>
      <c r="K174" s="10">
        <f ca="1" t="shared" si="30"/>
        <v>3750</v>
      </c>
      <c r="L174" s="10">
        <f ca="1" t="shared" si="31"/>
        <v>7500</v>
      </c>
      <c r="M174" t="s">
        <v>20</v>
      </c>
    </row>
    <row r="175" spans="1:13">
      <c r="A175" t="s">
        <v>386</v>
      </c>
      <c r="B175" t="s">
        <v>387</v>
      </c>
      <c r="C175" s="8">
        <f ca="1" t="shared" si="40"/>
        <v>46070</v>
      </c>
      <c r="D175" t="s">
        <v>115</v>
      </c>
      <c r="E175" s="10" t="s">
        <v>18</v>
      </c>
      <c r="F175" s="10" t="s">
        <v>43</v>
      </c>
      <c r="G175" s="10">
        <v>700</v>
      </c>
      <c r="H175">
        <v>48</v>
      </c>
      <c r="I175" s="10">
        <v>1000</v>
      </c>
      <c r="J175" s="11">
        <f ca="1" t="shared" si="41"/>
        <v>15</v>
      </c>
      <c r="K175" s="10">
        <f ca="1" t="shared" si="30"/>
        <v>10500</v>
      </c>
      <c r="L175" s="10">
        <f ca="1" t="shared" si="31"/>
        <v>15000</v>
      </c>
      <c r="M175" t="s">
        <v>24</v>
      </c>
    </row>
    <row r="176" spans="1:13">
      <c r="A176" t="s">
        <v>388</v>
      </c>
      <c r="B176" t="s">
        <v>389</v>
      </c>
      <c r="C176" s="8">
        <f ca="1" t="shared" si="40"/>
        <v>46080</v>
      </c>
      <c r="D176" t="s">
        <v>115</v>
      </c>
      <c r="E176" s="10" t="s">
        <v>23</v>
      </c>
      <c r="F176" s="10" t="s">
        <v>43</v>
      </c>
      <c r="G176" s="10">
        <v>1000</v>
      </c>
      <c r="H176">
        <v>45</v>
      </c>
      <c r="I176" s="10">
        <v>1800</v>
      </c>
      <c r="J176" s="11">
        <f ca="1" t="shared" si="41"/>
        <v>15</v>
      </c>
      <c r="K176" s="10">
        <f ca="1" t="shared" si="30"/>
        <v>15000</v>
      </c>
      <c r="L176" s="10">
        <f ca="1" t="shared" si="31"/>
        <v>27000</v>
      </c>
      <c r="M176" t="s">
        <v>20</v>
      </c>
    </row>
    <row r="177" spans="1:13">
      <c r="A177" t="s">
        <v>390</v>
      </c>
      <c r="B177" t="s">
        <v>391</v>
      </c>
      <c r="C177" s="8">
        <f ca="1" t="shared" si="40"/>
        <v>46107</v>
      </c>
      <c r="D177" t="s">
        <v>115</v>
      </c>
      <c r="E177" s="10" t="s">
        <v>18</v>
      </c>
      <c r="F177" s="10" t="s">
        <v>19</v>
      </c>
      <c r="G177" s="10">
        <v>1200</v>
      </c>
      <c r="H177">
        <v>49</v>
      </c>
      <c r="I177" s="10">
        <v>2000</v>
      </c>
      <c r="J177" s="11">
        <f ca="1" t="shared" si="41"/>
        <v>16</v>
      </c>
      <c r="K177" s="10">
        <f ca="1" t="shared" si="30"/>
        <v>19200</v>
      </c>
      <c r="L177" s="10">
        <f ca="1" t="shared" si="31"/>
        <v>32000</v>
      </c>
      <c r="M177" t="s">
        <v>30</v>
      </c>
    </row>
    <row r="178" spans="1:13">
      <c r="A178" t="s">
        <v>392</v>
      </c>
      <c r="B178" t="s">
        <v>393</v>
      </c>
      <c r="C178" s="8">
        <f ca="1" t="shared" si="40"/>
        <v>46134</v>
      </c>
      <c r="D178" t="s">
        <v>115</v>
      </c>
      <c r="E178" s="10" t="s">
        <v>23</v>
      </c>
      <c r="F178" s="10" t="s">
        <v>33</v>
      </c>
      <c r="G178" s="10">
        <v>2500</v>
      </c>
      <c r="H178">
        <v>57</v>
      </c>
      <c r="I178" s="10">
        <v>5000</v>
      </c>
      <c r="J178" s="11">
        <f ca="1" t="shared" si="41"/>
        <v>18</v>
      </c>
      <c r="K178" s="10">
        <f ca="1" t="shared" si="30"/>
        <v>45000</v>
      </c>
      <c r="L178" s="10">
        <f ca="1" t="shared" si="31"/>
        <v>90000</v>
      </c>
      <c r="M178" t="s">
        <v>20</v>
      </c>
    </row>
    <row r="179" spans="1:13">
      <c r="A179" t="s">
        <v>394</v>
      </c>
      <c r="B179" t="s">
        <v>395</v>
      </c>
      <c r="C179" s="8">
        <f ca="1" t="shared" si="40"/>
        <v>46044</v>
      </c>
      <c r="D179" t="s">
        <v>396</v>
      </c>
      <c r="E179" s="10" t="s">
        <v>23</v>
      </c>
      <c r="F179" s="10" t="s">
        <v>52</v>
      </c>
      <c r="G179" s="10">
        <v>6000</v>
      </c>
      <c r="H179">
        <v>36</v>
      </c>
      <c r="I179" s="10">
        <v>10000</v>
      </c>
      <c r="J179" s="11">
        <f ca="1" t="shared" si="41"/>
        <v>20</v>
      </c>
      <c r="K179" s="10">
        <f ca="1" t="shared" si="30"/>
        <v>120000</v>
      </c>
      <c r="L179" s="10">
        <f ca="1" t="shared" si="31"/>
        <v>200000</v>
      </c>
      <c r="M179" t="s">
        <v>24</v>
      </c>
    </row>
    <row r="180" spans="1:13">
      <c r="A180" t="s">
        <v>397</v>
      </c>
      <c r="B180" t="s">
        <v>398</v>
      </c>
      <c r="C180" s="8">
        <f ca="1" t="shared" si="40"/>
        <v>46055</v>
      </c>
      <c r="D180" t="s">
        <v>396</v>
      </c>
      <c r="E180" s="10" t="s">
        <v>18</v>
      </c>
      <c r="F180" s="10" t="s">
        <v>52</v>
      </c>
      <c r="G180" s="10">
        <v>4000</v>
      </c>
      <c r="H180">
        <v>49</v>
      </c>
      <c r="I180" s="10">
        <v>7000</v>
      </c>
      <c r="J180" s="11">
        <f ca="1" t="shared" si="41"/>
        <v>18</v>
      </c>
      <c r="K180" s="10">
        <f ca="1" t="shared" si="30"/>
        <v>72000</v>
      </c>
      <c r="L180" s="10">
        <f ca="1" t="shared" si="31"/>
        <v>126000</v>
      </c>
      <c r="M180" t="s">
        <v>20</v>
      </c>
    </row>
    <row r="181" spans="1:13">
      <c r="A181" t="s">
        <v>399</v>
      </c>
      <c r="B181" t="s">
        <v>400</v>
      </c>
      <c r="C181" s="8">
        <f ca="1" t="shared" si="40"/>
        <v>46076</v>
      </c>
      <c r="D181" t="s">
        <v>396</v>
      </c>
      <c r="E181" s="10" t="s">
        <v>23</v>
      </c>
      <c r="F181" s="10" t="s">
        <v>19</v>
      </c>
      <c r="G181" s="10">
        <v>4000</v>
      </c>
      <c r="H181">
        <v>57</v>
      </c>
      <c r="I181" s="10">
        <v>8000</v>
      </c>
      <c r="J181" s="11">
        <f ca="1" t="shared" si="41"/>
        <v>17</v>
      </c>
      <c r="K181" s="10">
        <f ca="1" t="shared" si="30"/>
        <v>68000</v>
      </c>
      <c r="L181" s="10">
        <f ca="1" t="shared" si="31"/>
        <v>136000</v>
      </c>
      <c r="M181" t="s">
        <v>30</v>
      </c>
    </row>
    <row r="182" spans="1:13">
      <c r="A182" t="s">
        <v>401</v>
      </c>
      <c r="B182" t="s">
        <v>402</v>
      </c>
      <c r="C182" s="8">
        <f ca="1" t="shared" si="40"/>
        <v>46128</v>
      </c>
      <c r="D182" t="s">
        <v>396</v>
      </c>
      <c r="E182" s="10" t="s">
        <v>18</v>
      </c>
      <c r="F182" s="10" t="s">
        <v>19</v>
      </c>
      <c r="G182" s="10">
        <v>3500</v>
      </c>
      <c r="H182">
        <v>42</v>
      </c>
      <c r="I182" s="10">
        <v>6000</v>
      </c>
      <c r="J182" s="11">
        <f ca="1" t="shared" si="41"/>
        <v>15</v>
      </c>
      <c r="K182" s="10">
        <f ca="1" t="shared" si="30"/>
        <v>52500</v>
      </c>
      <c r="L182" s="10">
        <f ca="1" t="shared" si="31"/>
        <v>90000</v>
      </c>
      <c r="M182" t="s">
        <v>30</v>
      </c>
    </row>
    <row r="183" spans="1:13">
      <c r="A183" t="s">
        <v>403</v>
      </c>
      <c r="B183" t="s">
        <v>404</v>
      </c>
      <c r="C183" s="8">
        <f ca="1" t="shared" ref="C183:C192" si="42">RANDBETWEEN(DATE(2026,1,1),DATE(2026,4,30))</f>
        <v>46141</v>
      </c>
      <c r="D183" t="s">
        <v>396</v>
      </c>
      <c r="E183" s="10" t="s">
        <v>23</v>
      </c>
      <c r="F183" s="10" t="s">
        <v>19</v>
      </c>
      <c r="G183" s="10">
        <v>8000</v>
      </c>
      <c r="H183">
        <v>49</v>
      </c>
      <c r="I183" s="10">
        <v>12000</v>
      </c>
      <c r="J183" s="11">
        <f ca="1" t="shared" ref="J183:J192" si="43">RANDBETWEEN(15,20)</f>
        <v>18</v>
      </c>
      <c r="K183" s="10">
        <f ca="1" t="shared" si="30"/>
        <v>144000</v>
      </c>
      <c r="L183" s="10">
        <f ca="1" t="shared" si="31"/>
        <v>216000</v>
      </c>
      <c r="M183" t="s">
        <v>20</v>
      </c>
    </row>
    <row r="184" spans="1:13">
      <c r="A184" t="s">
        <v>405</v>
      </c>
      <c r="B184" t="s">
        <v>406</v>
      </c>
      <c r="C184" s="8">
        <f ca="1" t="shared" si="42"/>
        <v>46049</v>
      </c>
      <c r="D184" t="s">
        <v>396</v>
      </c>
      <c r="E184" s="10" t="s">
        <v>23</v>
      </c>
      <c r="F184" s="10" t="s">
        <v>19</v>
      </c>
      <c r="G184" s="10">
        <v>16000</v>
      </c>
      <c r="H184">
        <v>36</v>
      </c>
      <c r="I184" s="10">
        <v>20000</v>
      </c>
      <c r="J184" s="11">
        <f ca="1" t="shared" si="43"/>
        <v>20</v>
      </c>
      <c r="K184" s="10">
        <f ca="1" t="shared" si="30"/>
        <v>320000</v>
      </c>
      <c r="L184" s="10">
        <f ca="1" t="shared" si="31"/>
        <v>400000</v>
      </c>
      <c r="M184" t="s">
        <v>20</v>
      </c>
    </row>
    <row r="185" spans="1:13">
      <c r="A185" t="s">
        <v>407</v>
      </c>
      <c r="B185" t="s">
        <v>408</v>
      </c>
      <c r="C185" s="8">
        <f ca="1" t="shared" si="42"/>
        <v>46033</v>
      </c>
      <c r="D185" t="s">
        <v>396</v>
      </c>
      <c r="E185" s="10" t="s">
        <v>18</v>
      </c>
      <c r="F185" s="10" t="s">
        <v>19</v>
      </c>
      <c r="G185" s="10">
        <v>16000</v>
      </c>
      <c r="H185">
        <v>62</v>
      </c>
      <c r="I185" s="10">
        <v>20000</v>
      </c>
      <c r="J185" s="11">
        <f ca="1" t="shared" si="43"/>
        <v>18</v>
      </c>
      <c r="K185" s="10">
        <f ca="1" t="shared" si="30"/>
        <v>288000</v>
      </c>
      <c r="L185" s="10">
        <f ca="1" t="shared" si="31"/>
        <v>360000</v>
      </c>
      <c r="M185" t="s">
        <v>20</v>
      </c>
    </row>
    <row r="186" spans="1:13">
      <c r="A186" t="s">
        <v>409</v>
      </c>
      <c r="B186" t="s">
        <v>410</v>
      </c>
      <c r="C186" s="8">
        <f ca="1" t="shared" si="42"/>
        <v>46054</v>
      </c>
      <c r="D186" t="s">
        <v>396</v>
      </c>
      <c r="E186" s="10" t="s">
        <v>23</v>
      </c>
      <c r="F186" s="10" t="s">
        <v>33</v>
      </c>
      <c r="G186" s="10">
        <v>3000</v>
      </c>
      <c r="H186">
        <v>69</v>
      </c>
      <c r="I186" s="10">
        <v>5000</v>
      </c>
      <c r="J186" s="11">
        <f ca="1" t="shared" si="43"/>
        <v>15</v>
      </c>
      <c r="K186" s="10">
        <f ca="1" t="shared" si="30"/>
        <v>45000</v>
      </c>
      <c r="L186" s="10">
        <f ca="1" t="shared" si="31"/>
        <v>75000</v>
      </c>
      <c r="M186" t="s">
        <v>20</v>
      </c>
    </row>
    <row r="187" spans="1:13">
      <c r="A187" t="s">
        <v>411</v>
      </c>
      <c r="B187" t="s">
        <v>412</v>
      </c>
      <c r="C187" s="8">
        <f ca="1" t="shared" si="42"/>
        <v>46130</v>
      </c>
      <c r="D187" t="s">
        <v>396</v>
      </c>
      <c r="E187" s="10" t="s">
        <v>18</v>
      </c>
      <c r="F187" s="10" t="s">
        <v>36</v>
      </c>
      <c r="G187" s="10">
        <v>4000</v>
      </c>
      <c r="H187">
        <v>62</v>
      </c>
      <c r="I187" s="10">
        <v>8000</v>
      </c>
      <c r="J187" s="11">
        <f ca="1" t="shared" si="43"/>
        <v>19</v>
      </c>
      <c r="K187" s="10">
        <f ca="1" t="shared" si="30"/>
        <v>76000</v>
      </c>
      <c r="L187" s="10">
        <f ca="1" t="shared" si="31"/>
        <v>152000</v>
      </c>
      <c r="M187" t="s">
        <v>20</v>
      </c>
    </row>
    <row r="188" spans="1:13">
      <c r="A188" t="s">
        <v>413</v>
      </c>
      <c r="B188" t="s">
        <v>414</v>
      </c>
      <c r="C188" s="8">
        <f ca="1" t="shared" si="42"/>
        <v>46103</v>
      </c>
      <c r="D188" t="s">
        <v>396</v>
      </c>
      <c r="E188" s="10" t="s">
        <v>23</v>
      </c>
      <c r="F188" s="10" t="s">
        <v>19</v>
      </c>
      <c r="G188" s="10">
        <v>8000</v>
      </c>
      <c r="H188">
        <v>55</v>
      </c>
      <c r="I188" s="10">
        <v>12000</v>
      </c>
      <c r="J188" s="11">
        <f ca="1" t="shared" si="43"/>
        <v>20</v>
      </c>
      <c r="K188" s="10">
        <f ca="1" t="shared" si="30"/>
        <v>160000</v>
      </c>
      <c r="L188" s="10">
        <f ca="1" t="shared" si="31"/>
        <v>240000</v>
      </c>
      <c r="M188" t="s">
        <v>24</v>
      </c>
    </row>
    <row r="189" spans="1:13">
      <c r="A189" t="s">
        <v>415</v>
      </c>
      <c r="B189" t="s">
        <v>416</v>
      </c>
      <c r="C189" s="8">
        <f ca="1" t="shared" si="42"/>
        <v>46137</v>
      </c>
      <c r="D189" t="s">
        <v>396</v>
      </c>
      <c r="E189" s="10" t="s">
        <v>23</v>
      </c>
      <c r="F189" s="10" t="s">
        <v>36</v>
      </c>
      <c r="G189" s="10">
        <v>12000</v>
      </c>
      <c r="H189">
        <v>60</v>
      </c>
      <c r="I189" s="10">
        <v>15000</v>
      </c>
      <c r="J189" s="11">
        <f ca="1" t="shared" si="43"/>
        <v>17</v>
      </c>
      <c r="K189" s="10">
        <f ca="1" t="shared" si="30"/>
        <v>204000</v>
      </c>
      <c r="L189" s="10">
        <f ca="1" t="shared" si="31"/>
        <v>255000</v>
      </c>
      <c r="M189" t="s">
        <v>24</v>
      </c>
    </row>
    <row r="190" spans="1:13">
      <c r="A190" t="s">
        <v>417</v>
      </c>
      <c r="B190" t="s">
        <v>418</v>
      </c>
      <c r="C190" s="8">
        <f ca="1" t="shared" si="42"/>
        <v>46119</v>
      </c>
      <c r="D190" t="s">
        <v>419</v>
      </c>
      <c r="E190" s="10" t="s">
        <v>18</v>
      </c>
      <c r="F190" s="10" t="s">
        <v>43</v>
      </c>
      <c r="G190" s="10">
        <v>1800</v>
      </c>
      <c r="H190">
        <v>33</v>
      </c>
      <c r="I190" s="10">
        <v>3500</v>
      </c>
      <c r="J190" s="11">
        <f ca="1" t="shared" si="43"/>
        <v>20</v>
      </c>
      <c r="K190" s="10">
        <f ca="1" t="shared" si="30"/>
        <v>36000</v>
      </c>
      <c r="L190" s="10">
        <f ca="1" t="shared" si="31"/>
        <v>70000</v>
      </c>
      <c r="M190" t="s">
        <v>24</v>
      </c>
    </row>
    <row r="191" spans="1:13">
      <c r="A191" t="s">
        <v>420</v>
      </c>
      <c r="B191" t="s">
        <v>421</v>
      </c>
      <c r="C191" s="8">
        <f ca="1" t="shared" si="42"/>
        <v>46037</v>
      </c>
      <c r="D191" t="s">
        <v>419</v>
      </c>
      <c r="E191" s="10" t="s">
        <v>23</v>
      </c>
      <c r="F191" s="10" t="s">
        <v>43</v>
      </c>
      <c r="G191" s="10">
        <v>2500</v>
      </c>
      <c r="H191">
        <v>53</v>
      </c>
      <c r="I191" s="10">
        <v>5000</v>
      </c>
      <c r="J191" s="11">
        <f ca="1" t="shared" si="43"/>
        <v>16</v>
      </c>
      <c r="K191" s="10">
        <f ca="1" t="shared" si="30"/>
        <v>40000</v>
      </c>
      <c r="L191" s="10">
        <f ca="1" t="shared" si="31"/>
        <v>80000</v>
      </c>
      <c r="M191" t="s">
        <v>30</v>
      </c>
    </row>
    <row r="192" spans="1:13">
      <c r="A192" t="s">
        <v>422</v>
      </c>
      <c r="B192" t="s">
        <v>423</v>
      </c>
      <c r="C192" s="8">
        <f ca="1" t="shared" si="42"/>
        <v>46038</v>
      </c>
      <c r="D192" t="s">
        <v>424</v>
      </c>
      <c r="E192" s="10" t="s">
        <v>18</v>
      </c>
      <c r="F192" s="10" t="s">
        <v>19</v>
      </c>
      <c r="G192" s="10">
        <v>1800</v>
      </c>
      <c r="H192">
        <v>60</v>
      </c>
      <c r="I192" s="10">
        <v>3500</v>
      </c>
      <c r="J192" s="11">
        <f ca="1" t="shared" si="43"/>
        <v>18</v>
      </c>
      <c r="K192" s="10">
        <f ca="1" t="shared" si="30"/>
        <v>32400</v>
      </c>
      <c r="L192" s="10">
        <f ca="1" t="shared" si="31"/>
        <v>63000</v>
      </c>
      <c r="M192" t="s">
        <v>30</v>
      </c>
    </row>
    <row r="193" spans="1:13">
      <c r="A193" t="s">
        <v>425</v>
      </c>
      <c r="B193" t="s">
        <v>426</v>
      </c>
      <c r="C193" s="8">
        <f ca="1" t="shared" ref="C193:C202" si="44">RANDBETWEEN(DATE(2026,1,1),DATE(2026,4,30))</f>
        <v>46090</v>
      </c>
      <c r="D193" t="s">
        <v>424</v>
      </c>
      <c r="E193" s="10" t="s">
        <v>23</v>
      </c>
      <c r="F193" s="10" t="s">
        <v>33</v>
      </c>
      <c r="G193" s="10">
        <v>700</v>
      </c>
      <c r="H193">
        <v>68</v>
      </c>
      <c r="I193" s="10">
        <v>2000</v>
      </c>
      <c r="J193" s="11">
        <f ca="1" t="shared" ref="J193:J202" si="45">RANDBETWEEN(15,20)</f>
        <v>19</v>
      </c>
      <c r="K193" s="10">
        <f ca="1" t="shared" si="30"/>
        <v>13300</v>
      </c>
      <c r="L193" s="10">
        <f ca="1" t="shared" si="31"/>
        <v>38000</v>
      </c>
      <c r="M193" t="s">
        <v>30</v>
      </c>
    </row>
    <row r="194" spans="1:13">
      <c r="A194" t="s">
        <v>427</v>
      </c>
      <c r="B194" t="s">
        <v>428</v>
      </c>
      <c r="C194" s="8">
        <f ca="1" t="shared" si="44"/>
        <v>46100</v>
      </c>
      <c r="D194" t="s">
        <v>424</v>
      </c>
      <c r="E194" s="10" t="s">
        <v>23</v>
      </c>
      <c r="F194" s="10" t="s">
        <v>52</v>
      </c>
      <c r="G194" s="10">
        <v>700</v>
      </c>
      <c r="H194">
        <v>40</v>
      </c>
      <c r="I194" s="10">
        <v>2000</v>
      </c>
      <c r="J194" s="11">
        <f ca="1" t="shared" si="45"/>
        <v>18</v>
      </c>
      <c r="K194" s="10">
        <f ca="1" t="shared" si="30"/>
        <v>12600</v>
      </c>
      <c r="L194" s="10">
        <f ca="1" t="shared" si="31"/>
        <v>36000</v>
      </c>
      <c r="M194" t="s">
        <v>30</v>
      </c>
    </row>
    <row r="195" spans="1:13">
      <c r="A195" t="s">
        <v>429</v>
      </c>
      <c r="B195" t="s">
        <v>430</v>
      </c>
      <c r="C195" s="8">
        <f ca="1" t="shared" si="44"/>
        <v>46072</v>
      </c>
      <c r="D195" t="s">
        <v>424</v>
      </c>
      <c r="E195" s="10" t="s">
        <v>18</v>
      </c>
      <c r="F195" s="10" t="s">
        <v>52</v>
      </c>
      <c r="G195" s="10">
        <v>700</v>
      </c>
      <c r="H195">
        <v>58</v>
      </c>
      <c r="I195" s="10">
        <v>3000</v>
      </c>
      <c r="J195" s="11">
        <f ca="1" t="shared" si="45"/>
        <v>16</v>
      </c>
      <c r="K195" s="10">
        <f ca="1" t="shared" ref="K195:K258" si="46">G195*J195</f>
        <v>11200</v>
      </c>
      <c r="L195" s="10">
        <f ca="1" t="shared" ref="L195:L258" si="47">I195*J195</f>
        <v>48000</v>
      </c>
      <c r="M195" t="s">
        <v>30</v>
      </c>
    </row>
    <row r="196" spans="1:13">
      <c r="A196" t="s">
        <v>431</v>
      </c>
      <c r="B196" t="s">
        <v>432</v>
      </c>
      <c r="C196" s="8">
        <f ca="1" t="shared" si="44"/>
        <v>46048</v>
      </c>
      <c r="D196" t="s">
        <v>424</v>
      </c>
      <c r="E196" s="10" t="s">
        <v>23</v>
      </c>
      <c r="F196" s="10" t="s">
        <v>19</v>
      </c>
      <c r="G196" s="10">
        <v>700</v>
      </c>
      <c r="H196">
        <v>63</v>
      </c>
      <c r="I196" s="10">
        <v>2000</v>
      </c>
      <c r="J196" s="11">
        <f ca="1" t="shared" si="45"/>
        <v>18</v>
      </c>
      <c r="K196" s="10">
        <f ca="1" t="shared" si="46"/>
        <v>12600</v>
      </c>
      <c r="L196" s="10">
        <f ca="1" t="shared" si="47"/>
        <v>36000</v>
      </c>
      <c r="M196" t="s">
        <v>20</v>
      </c>
    </row>
    <row r="197" spans="1:13">
      <c r="A197" t="s">
        <v>433</v>
      </c>
      <c r="B197" t="s">
        <v>434</v>
      </c>
      <c r="C197" s="8">
        <f ca="1" t="shared" si="44"/>
        <v>46024</v>
      </c>
      <c r="D197" t="s">
        <v>424</v>
      </c>
      <c r="E197" s="10" t="s">
        <v>18</v>
      </c>
      <c r="F197" s="10" t="s">
        <v>19</v>
      </c>
      <c r="G197" s="10">
        <v>700</v>
      </c>
      <c r="H197">
        <v>67</v>
      </c>
      <c r="I197" s="10">
        <v>2500</v>
      </c>
      <c r="J197" s="11">
        <f ca="1" t="shared" si="45"/>
        <v>18</v>
      </c>
      <c r="K197" s="10">
        <f ca="1" t="shared" si="46"/>
        <v>12600</v>
      </c>
      <c r="L197" s="10">
        <f ca="1" t="shared" si="47"/>
        <v>45000</v>
      </c>
      <c r="M197" t="s">
        <v>24</v>
      </c>
    </row>
    <row r="198" spans="1:13">
      <c r="A198" t="s">
        <v>435</v>
      </c>
      <c r="B198" t="s">
        <v>436</v>
      </c>
      <c r="C198" s="8">
        <f ca="1" t="shared" si="44"/>
        <v>46129</v>
      </c>
      <c r="D198" t="s">
        <v>437</v>
      </c>
      <c r="E198" s="10" t="s">
        <v>23</v>
      </c>
      <c r="F198" s="10" t="s">
        <v>19</v>
      </c>
      <c r="G198" s="10">
        <v>18000</v>
      </c>
      <c r="H198">
        <v>54</v>
      </c>
      <c r="I198" s="10">
        <v>25000</v>
      </c>
      <c r="J198" s="11">
        <f ca="1" t="shared" si="45"/>
        <v>20</v>
      </c>
      <c r="K198" s="10">
        <f ca="1" t="shared" si="46"/>
        <v>360000</v>
      </c>
      <c r="L198" s="10">
        <f ca="1" t="shared" si="47"/>
        <v>500000</v>
      </c>
      <c r="M198" t="s">
        <v>20</v>
      </c>
    </row>
    <row r="199" spans="1:13">
      <c r="A199" t="s">
        <v>438</v>
      </c>
      <c r="B199" t="s">
        <v>439</v>
      </c>
      <c r="C199" s="8">
        <f ca="1" t="shared" si="44"/>
        <v>46050</v>
      </c>
      <c r="D199" t="s">
        <v>437</v>
      </c>
      <c r="E199" s="10" t="s">
        <v>23</v>
      </c>
      <c r="F199" s="10" t="s">
        <v>19</v>
      </c>
      <c r="G199" s="10">
        <v>16000</v>
      </c>
      <c r="H199">
        <v>64</v>
      </c>
      <c r="I199" s="10">
        <v>20000</v>
      </c>
      <c r="J199" s="11">
        <f ca="1" t="shared" si="45"/>
        <v>19</v>
      </c>
      <c r="K199" s="10">
        <f ca="1" t="shared" si="46"/>
        <v>304000</v>
      </c>
      <c r="L199" s="10">
        <f ca="1" t="shared" si="47"/>
        <v>380000</v>
      </c>
      <c r="M199" t="s">
        <v>30</v>
      </c>
    </row>
    <row r="200" spans="1:13">
      <c r="A200" t="s">
        <v>440</v>
      </c>
      <c r="B200" t="s">
        <v>441</v>
      </c>
      <c r="C200" s="8">
        <f ca="1" t="shared" si="44"/>
        <v>46112</v>
      </c>
      <c r="D200" t="s">
        <v>437</v>
      </c>
      <c r="E200" s="10" t="s">
        <v>18</v>
      </c>
      <c r="F200" s="10" t="s">
        <v>19</v>
      </c>
      <c r="G200" s="10">
        <v>4000</v>
      </c>
      <c r="H200">
        <v>34</v>
      </c>
      <c r="I200" s="10">
        <v>8000</v>
      </c>
      <c r="J200" s="11">
        <f ca="1" t="shared" si="45"/>
        <v>16</v>
      </c>
      <c r="K200" s="10">
        <f ca="1" t="shared" si="46"/>
        <v>64000</v>
      </c>
      <c r="L200" s="10">
        <f ca="1" t="shared" si="47"/>
        <v>128000</v>
      </c>
      <c r="M200" t="s">
        <v>20</v>
      </c>
    </row>
    <row r="201" spans="1:13">
      <c r="A201" t="s">
        <v>442</v>
      </c>
      <c r="B201" t="s">
        <v>443</v>
      </c>
      <c r="C201" s="8">
        <f ca="1" t="shared" si="44"/>
        <v>46046</v>
      </c>
      <c r="D201" t="s">
        <v>437</v>
      </c>
      <c r="E201" s="10" t="s">
        <v>23</v>
      </c>
      <c r="F201" s="10" t="s">
        <v>33</v>
      </c>
      <c r="G201" s="10">
        <v>4000</v>
      </c>
      <c r="H201">
        <v>60</v>
      </c>
      <c r="I201" s="10">
        <v>8000</v>
      </c>
      <c r="J201" s="11">
        <f ca="1" t="shared" si="45"/>
        <v>18</v>
      </c>
      <c r="K201" s="10">
        <f ca="1" t="shared" si="46"/>
        <v>72000</v>
      </c>
      <c r="L201" s="10">
        <f ca="1" t="shared" si="47"/>
        <v>144000</v>
      </c>
      <c r="M201" t="s">
        <v>24</v>
      </c>
    </row>
    <row r="202" spans="1:13">
      <c r="A202" t="s">
        <v>444</v>
      </c>
      <c r="B202" t="s">
        <v>445</v>
      </c>
      <c r="C202" s="8">
        <f ca="1" t="shared" si="44"/>
        <v>46126</v>
      </c>
      <c r="D202" t="s">
        <v>437</v>
      </c>
      <c r="E202" s="10" t="s">
        <v>18</v>
      </c>
      <c r="F202" s="10" t="s">
        <v>36</v>
      </c>
      <c r="G202" s="10">
        <v>1200</v>
      </c>
      <c r="H202">
        <v>52</v>
      </c>
      <c r="I202" s="10">
        <v>2500</v>
      </c>
      <c r="J202" s="11">
        <f ca="1" t="shared" si="45"/>
        <v>16</v>
      </c>
      <c r="K202" s="10">
        <f ca="1" t="shared" si="46"/>
        <v>19200</v>
      </c>
      <c r="L202" s="10">
        <f ca="1" t="shared" si="47"/>
        <v>40000</v>
      </c>
      <c r="M202" t="s">
        <v>20</v>
      </c>
    </row>
    <row r="203" spans="1:13">
      <c r="A203" t="s">
        <v>446</v>
      </c>
      <c r="B203" t="s">
        <v>447</v>
      </c>
      <c r="C203" s="8">
        <f ca="1" t="shared" ref="C203:C212" si="48">RANDBETWEEN(DATE(2026,1,1),DATE(2026,4,30))</f>
        <v>46101</v>
      </c>
      <c r="D203" t="s">
        <v>437</v>
      </c>
      <c r="E203" s="10" t="s">
        <v>23</v>
      </c>
      <c r="F203" s="10" t="s">
        <v>19</v>
      </c>
      <c r="G203" s="10">
        <v>1500</v>
      </c>
      <c r="H203">
        <v>57</v>
      </c>
      <c r="I203" s="10">
        <v>3500</v>
      </c>
      <c r="J203" s="11">
        <f ca="1" t="shared" ref="J203:J212" si="49">RANDBETWEEN(15,20)</f>
        <v>16</v>
      </c>
      <c r="K203" s="10">
        <f ca="1" t="shared" si="46"/>
        <v>24000</v>
      </c>
      <c r="L203" s="10">
        <f ca="1" t="shared" si="47"/>
        <v>56000</v>
      </c>
      <c r="M203" t="s">
        <v>30</v>
      </c>
    </row>
    <row r="204" spans="1:13">
      <c r="A204" t="s">
        <v>448</v>
      </c>
      <c r="B204" t="s">
        <v>449</v>
      </c>
      <c r="C204" s="8">
        <f ca="1" t="shared" si="48"/>
        <v>46026</v>
      </c>
      <c r="D204" t="s">
        <v>437</v>
      </c>
      <c r="E204" s="10" t="s">
        <v>23</v>
      </c>
      <c r="F204" s="10" t="s">
        <v>36</v>
      </c>
      <c r="G204" s="10">
        <v>1200</v>
      </c>
      <c r="H204">
        <v>53</v>
      </c>
      <c r="I204" s="10">
        <v>2500</v>
      </c>
      <c r="J204" s="11">
        <f ca="1" t="shared" si="49"/>
        <v>17</v>
      </c>
      <c r="K204" s="10">
        <f ca="1" t="shared" si="46"/>
        <v>20400</v>
      </c>
      <c r="L204" s="10">
        <f ca="1" t="shared" si="47"/>
        <v>42500</v>
      </c>
      <c r="M204" t="s">
        <v>30</v>
      </c>
    </row>
    <row r="205" spans="1:13">
      <c r="A205" t="s">
        <v>450</v>
      </c>
      <c r="B205" t="s">
        <v>451</v>
      </c>
      <c r="C205" s="8">
        <f ca="1" t="shared" si="48"/>
        <v>46134</v>
      </c>
      <c r="D205" t="s">
        <v>437</v>
      </c>
      <c r="E205" s="10" t="s">
        <v>18</v>
      </c>
      <c r="F205" s="10" t="s">
        <v>43</v>
      </c>
      <c r="G205" s="10">
        <v>1500</v>
      </c>
      <c r="H205">
        <v>64</v>
      </c>
      <c r="I205" s="10">
        <v>3500</v>
      </c>
      <c r="J205" s="11">
        <f ca="1" t="shared" si="49"/>
        <v>16</v>
      </c>
      <c r="K205" s="10">
        <f ca="1" t="shared" si="46"/>
        <v>24000</v>
      </c>
      <c r="L205" s="10">
        <f ca="1" t="shared" si="47"/>
        <v>56000</v>
      </c>
      <c r="M205" t="s">
        <v>20</v>
      </c>
    </row>
    <row r="206" spans="1:13">
      <c r="A206" t="s">
        <v>452</v>
      </c>
      <c r="B206" t="s">
        <v>453</v>
      </c>
      <c r="C206" s="8">
        <f ca="1" t="shared" si="48"/>
        <v>46091</v>
      </c>
      <c r="D206" t="s">
        <v>437</v>
      </c>
      <c r="E206" s="10" t="s">
        <v>23</v>
      </c>
      <c r="F206" s="10" t="s">
        <v>43</v>
      </c>
      <c r="G206" s="10">
        <v>1200</v>
      </c>
      <c r="H206">
        <v>61</v>
      </c>
      <c r="I206" s="10">
        <v>2500</v>
      </c>
      <c r="J206" s="11">
        <f ca="1" t="shared" si="49"/>
        <v>19</v>
      </c>
      <c r="K206" s="10">
        <f ca="1" t="shared" si="46"/>
        <v>22800</v>
      </c>
      <c r="L206" s="10">
        <f ca="1" t="shared" si="47"/>
        <v>47500</v>
      </c>
      <c r="M206" t="s">
        <v>20</v>
      </c>
    </row>
    <row r="207" spans="1:13">
      <c r="A207" t="s">
        <v>454</v>
      </c>
      <c r="B207" t="s">
        <v>455</v>
      </c>
      <c r="C207" s="8">
        <f ca="1" t="shared" si="48"/>
        <v>46111</v>
      </c>
      <c r="D207" t="s">
        <v>437</v>
      </c>
      <c r="E207" s="10" t="s">
        <v>18</v>
      </c>
      <c r="F207" s="10" t="s">
        <v>19</v>
      </c>
      <c r="G207" s="10">
        <v>1500</v>
      </c>
      <c r="H207">
        <v>59</v>
      </c>
      <c r="I207" s="10">
        <v>3500</v>
      </c>
      <c r="J207" s="11">
        <f ca="1" t="shared" si="49"/>
        <v>15</v>
      </c>
      <c r="K207" s="10">
        <f ca="1" t="shared" si="46"/>
        <v>22500</v>
      </c>
      <c r="L207" s="10">
        <f ca="1" t="shared" si="47"/>
        <v>52500</v>
      </c>
      <c r="M207" t="s">
        <v>20</v>
      </c>
    </row>
    <row r="208" spans="1:13">
      <c r="A208" t="s">
        <v>456</v>
      </c>
      <c r="B208" t="s">
        <v>457</v>
      </c>
      <c r="C208" s="8">
        <f ca="1" t="shared" si="48"/>
        <v>46118</v>
      </c>
      <c r="D208" t="s">
        <v>437</v>
      </c>
      <c r="E208" s="10" t="s">
        <v>23</v>
      </c>
      <c r="F208" s="10" t="s">
        <v>33</v>
      </c>
      <c r="G208" s="10">
        <v>1200</v>
      </c>
      <c r="H208">
        <v>54</v>
      </c>
      <c r="I208" s="10">
        <v>2500</v>
      </c>
      <c r="J208" s="11">
        <f ca="1" t="shared" si="49"/>
        <v>15</v>
      </c>
      <c r="K208" s="10">
        <f ca="1" t="shared" si="46"/>
        <v>18000</v>
      </c>
      <c r="L208" s="10">
        <f ca="1" t="shared" si="47"/>
        <v>37500</v>
      </c>
      <c r="M208" t="s">
        <v>20</v>
      </c>
    </row>
    <row r="209" spans="1:13">
      <c r="A209" t="s">
        <v>458</v>
      </c>
      <c r="B209" t="s">
        <v>459</v>
      </c>
      <c r="C209" s="8">
        <f ca="1" t="shared" si="48"/>
        <v>46082</v>
      </c>
      <c r="D209" t="s">
        <v>437</v>
      </c>
      <c r="E209" s="10" t="s">
        <v>23</v>
      </c>
      <c r="F209" s="10" t="s">
        <v>52</v>
      </c>
      <c r="G209" s="10">
        <v>1500</v>
      </c>
      <c r="H209">
        <v>54</v>
      </c>
      <c r="I209" s="10">
        <v>3500</v>
      </c>
      <c r="J209" s="11">
        <f ca="1" t="shared" si="49"/>
        <v>20</v>
      </c>
      <c r="K209" s="10">
        <f ca="1" t="shared" si="46"/>
        <v>30000</v>
      </c>
      <c r="L209" s="10">
        <f ca="1" t="shared" si="47"/>
        <v>70000</v>
      </c>
      <c r="M209" t="s">
        <v>20</v>
      </c>
    </row>
    <row r="210" spans="1:13">
      <c r="A210" t="s">
        <v>460</v>
      </c>
      <c r="B210" t="s">
        <v>461</v>
      </c>
      <c r="C210" s="8">
        <f ca="1" t="shared" si="48"/>
        <v>46070</v>
      </c>
      <c r="D210" t="s">
        <v>437</v>
      </c>
      <c r="E210" s="10" t="s">
        <v>18</v>
      </c>
      <c r="F210" s="10" t="s">
        <v>52</v>
      </c>
      <c r="G210" s="10">
        <v>1200</v>
      </c>
      <c r="H210">
        <v>38</v>
      </c>
      <c r="I210" s="10">
        <v>2500</v>
      </c>
      <c r="J210" s="11">
        <f ca="1" t="shared" si="49"/>
        <v>15</v>
      </c>
      <c r="K210" s="10">
        <f ca="1" t="shared" si="46"/>
        <v>18000</v>
      </c>
      <c r="L210" s="10">
        <f ca="1" t="shared" si="47"/>
        <v>37500</v>
      </c>
      <c r="M210" t="s">
        <v>24</v>
      </c>
    </row>
    <row r="211" spans="1:13">
      <c r="A211" t="s">
        <v>462</v>
      </c>
      <c r="B211" t="s">
        <v>463</v>
      </c>
      <c r="C211" s="8">
        <f ca="1" t="shared" si="48"/>
        <v>46119</v>
      </c>
      <c r="D211" t="s">
        <v>437</v>
      </c>
      <c r="E211" s="10" t="s">
        <v>23</v>
      </c>
      <c r="F211" s="10" t="s">
        <v>19</v>
      </c>
      <c r="G211" s="10">
        <v>1500</v>
      </c>
      <c r="H211">
        <v>70</v>
      </c>
      <c r="I211" s="10">
        <v>3500</v>
      </c>
      <c r="J211" s="11">
        <f ca="1" t="shared" si="49"/>
        <v>16</v>
      </c>
      <c r="K211" s="10">
        <f ca="1" t="shared" si="46"/>
        <v>24000</v>
      </c>
      <c r="L211" s="10">
        <f ca="1" t="shared" si="47"/>
        <v>56000</v>
      </c>
      <c r="M211" t="s">
        <v>24</v>
      </c>
    </row>
    <row r="212" spans="1:13">
      <c r="A212" t="s">
        <v>464</v>
      </c>
      <c r="B212" t="s">
        <v>465</v>
      </c>
      <c r="C212" s="8">
        <f ca="1" t="shared" si="48"/>
        <v>46045</v>
      </c>
      <c r="D212" t="s">
        <v>437</v>
      </c>
      <c r="E212" s="10" t="s">
        <v>18</v>
      </c>
      <c r="F212" s="10" t="s">
        <v>19</v>
      </c>
      <c r="G212" s="10">
        <v>4000</v>
      </c>
      <c r="H212">
        <v>42</v>
      </c>
      <c r="I212" s="10">
        <v>8000</v>
      </c>
      <c r="J212" s="11">
        <f ca="1" t="shared" si="49"/>
        <v>15</v>
      </c>
      <c r="K212" s="10">
        <f ca="1" t="shared" si="46"/>
        <v>60000</v>
      </c>
      <c r="L212" s="10">
        <f ca="1" t="shared" si="47"/>
        <v>120000</v>
      </c>
      <c r="M212" t="s">
        <v>24</v>
      </c>
    </row>
    <row r="213" spans="1:13">
      <c r="A213" t="s">
        <v>466</v>
      </c>
      <c r="B213" t="s">
        <v>467</v>
      </c>
      <c r="C213" s="8">
        <f ca="1" t="shared" ref="C213:C222" si="50">RANDBETWEEN(DATE(2026,1,1),DATE(2026,4,30))</f>
        <v>46085</v>
      </c>
      <c r="D213" t="s">
        <v>437</v>
      </c>
      <c r="E213" s="10" t="s">
        <v>23</v>
      </c>
      <c r="F213" s="10" t="s">
        <v>19</v>
      </c>
      <c r="G213" s="10">
        <v>1500</v>
      </c>
      <c r="H213">
        <v>62</v>
      </c>
      <c r="I213" s="10">
        <v>3000</v>
      </c>
      <c r="J213" s="11">
        <f ca="1" t="shared" ref="J213:J222" si="51">RANDBETWEEN(15,20)</f>
        <v>17</v>
      </c>
      <c r="K213" s="10">
        <f ca="1" t="shared" si="46"/>
        <v>25500</v>
      </c>
      <c r="L213" s="10">
        <f ca="1" t="shared" si="47"/>
        <v>51000</v>
      </c>
      <c r="M213" t="s">
        <v>30</v>
      </c>
    </row>
    <row r="214" spans="1:13">
      <c r="A214" t="s">
        <v>468</v>
      </c>
      <c r="B214" t="s">
        <v>469</v>
      </c>
      <c r="C214" s="8">
        <f ca="1" t="shared" si="50"/>
        <v>46031</v>
      </c>
      <c r="D214" t="s">
        <v>437</v>
      </c>
      <c r="E214" s="10" t="s">
        <v>23</v>
      </c>
      <c r="F214" s="10" t="s">
        <v>19</v>
      </c>
      <c r="G214" s="10">
        <v>2500</v>
      </c>
      <c r="H214">
        <v>46</v>
      </c>
      <c r="I214" s="10">
        <v>6000</v>
      </c>
      <c r="J214" s="11">
        <f ca="1" t="shared" si="51"/>
        <v>17</v>
      </c>
      <c r="K214" s="10">
        <f ca="1" t="shared" si="46"/>
        <v>42500</v>
      </c>
      <c r="L214" s="10">
        <f ca="1" t="shared" si="47"/>
        <v>102000</v>
      </c>
      <c r="M214" t="s">
        <v>30</v>
      </c>
    </row>
    <row r="215" spans="1:13">
      <c r="A215" t="s">
        <v>470</v>
      </c>
      <c r="B215" t="s">
        <v>471</v>
      </c>
      <c r="C215" s="8">
        <f ca="1" t="shared" si="50"/>
        <v>46125</v>
      </c>
      <c r="D215" t="s">
        <v>437</v>
      </c>
      <c r="E215" s="10" t="s">
        <v>18</v>
      </c>
      <c r="F215" s="10" t="s">
        <v>19</v>
      </c>
      <c r="G215" s="10">
        <v>800</v>
      </c>
      <c r="H215">
        <v>58</v>
      </c>
      <c r="I215" s="10">
        <v>1500</v>
      </c>
      <c r="J215" s="11">
        <f ca="1" t="shared" si="51"/>
        <v>18</v>
      </c>
      <c r="K215" s="10">
        <f ca="1" t="shared" si="46"/>
        <v>14400</v>
      </c>
      <c r="L215" s="10">
        <f ca="1" t="shared" si="47"/>
        <v>27000</v>
      </c>
      <c r="M215" t="s">
        <v>30</v>
      </c>
    </row>
    <row r="216" spans="1:13">
      <c r="A216" t="s">
        <v>472</v>
      </c>
      <c r="B216" t="s">
        <v>473</v>
      </c>
      <c r="C216" s="8">
        <f ca="1" t="shared" si="50"/>
        <v>46036</v>
      </c>
      <c r="D216" t="s">
        <v>437</v>
      </c>
      <c r="E216" s="10" t="s">
        <v>23</v>
      </c>
      <c r="F216" s="10" t="s">
        <v>33</v>
      </c>
      <c r="G216" s="10">
        <v>1500</v>
      </c>
      <c r="H216">
        <v>66</v>
      </c>
      <c r="I216" s="10">
        <v>3000</v>
      </c>
      <c r="J216" s="11">
        <f ca="1" t="shared" si="51"/>
        <v>20</v>
      </c>
      <c r="K216" s="10">
        <f ca="1" t="shared" si="46"/>
        <v>30000</v>
      </c>
      <c r="L216" s="10">
        <f ca="1" t="shared" si="47"/>
        <v>60000</v>
      </c>
      <c r="M216" t="s">
        <v>30</v>
      </c>
    </row>
    <row r="217" spans="1:13">
      <c r="A217" t="s">
        <v>474</v>
      </c>
      <c r="B217" t="s">
        <v>475</v>
      </c>
      <c r="C217" s="8">
        <f ca="1" t="shared" si="50"/>
        <v>46029</v>
      </c>
      <c r="D217" t="s">
        <v>476</v>
      </c>
      <c r="E217" s="10" t="s">
        <v>18</v>
      </c>
      <c r="F217" s="10" t="s">
        <v>36</v>
      </c>
      <c r="G217" s="10">
        <v>250</v>
      </c>
      <c r="H217">
        <v>44</v>
      </c>
      <c r="I217" s="10">
        <v>500</v>
      </c>
      <c r="J217" s="11">
        <f ca="1" t="shared" si="51"/>
        <v>18</v>
      </c>
      <c r="K217" s="10">
        <f ca="1" t="shared" si="46"/>
        <v>4500</v>
      </c>
      <c r="L217" s="10">
        <f ca="1" t="shared" si="47"/>
        <v>9000</v>
      </c>
      <c r="M217" t="s">
        <v>30</v>
      </c>
    </row>
    <row r="218" spans="1:13">
      <c r="A218" t="s">
        <v>477</v>
      </c>
      <c r="B218" t="s">
        <v>478</v>
      </c>
      <c r="C218" s="8">
        <f ca="1" t="shared" si="50"/>
        <v>46137</v>
      </c>
      <c r="D218" t="s">
        <v>476</v>
      </c>
      <c r="E218" s="10" t="s">
        <v>23</v>
      </c>
      <c r="F218" s="10" t="s">
        <v>19</v>
      </c>
      <c r="G218" s="10">
        <v>250</v>
      </c>
      <c r="H218">
        <v>63</v>
      </c>
      <c r="I218" s="10">
        <v>500</v>
      </c>
      <c r="J218" s="11">
        <f ca="1" t="shared" si="51"/>
        <v>15</v>
      </c>
      <c r="K218" s="10">
        <f ca="1" t="shared" si="46"/>
        <v>3750</v>
      </c>
      <c r="L218" s="10">
        <f ca="1" t="shared" si="47"/>
        <v>7500</v>
      </c>
      <c r="M218" t="s">
        <v>20</v>
      </c>
    </row>
    <row r="219" spans="1:13">
      <c r="A219" t="s">
        <v>479</v>
      </c>
      <c r="B219" t="s">
        <v>480</v>
      </c>
      <c r="C219" s="8">
        <f ca="1" t="shared" si="50"/>
        <v>46133</v>
      </c>
      <c r="D219" t="s">
        <v>476</v>
      </c>
      <c r="E219" s="10" t="s">
        <v>23</v>
      </c>
      <c r="F219" s="10" t="s">
        <v>36</v>
      </c>
      <c r="G219" s="10">
        <v>250</v>
      </c>
      <c r="H219">
        <v>42</v>
      </c>
      <c r="I219" s="10">
        <v>500</v>
      </c>
      <c r="J219" s="11">
        <f ca="1" t="shared" si="51"/>
        <v>18</v>
      </c>
      <c r="K219" s="10">
        <f ca="1" t="shared" si="46"/>
        <v>4500</v>
      </c>
      <c r="L219" s="10">
        <f ca="1" t="shared" si="47"/>
        <v>9000</v>
      </c>
      <c r="M219" t="s">
        <v>24</v>
      </c>
    </row>
    <row r="220" spans="1:13">
      <c r="A220" t="s">
        <v>481</v>
      </c>
      <c r="B220" t="s">
        <v>482</v>
      </c>
      <c r="C220" s="8">
        <f ca="1" t="shared" si="50"/>
        <v>46036</v>
      </c>
      <c r="D220" t="s">
        <v>476</v>
      </c>
      <c r="E220" s="10" t="s">
        <v>18</v>
      </c>
      <c r="F220" s="10" t="s">
        <v>43</v>
      </c>
      <c r="G220" s="10">
        <v>300</v>
      </c>
      <c r="H220">
        <v>60</v>
      </c>
      <c r="I220" s="10">
        <v>1000</v>
      </c>
      <c r="J220" s="11">
        <f ca="1" t="shared" si="51"/>
        <v>15</v>
      </c>
      <c r="K220" s="10">
        <f ca="1" t="shared" si="46"/>
        <v>4500</v>
      </c>
      <c r="L220" s="10">
        <f ca="1" t="shared" si="47"/>
        <v>15000</v>
      </c>
      <c r="M220" t="s">
        <v>20</v>
      </c>
    </row>
    <row r="221" spans="1:13">
      <c r="A221" t="s">
        <v>483</v>
      </c>
      <c r="B221" t="s">
        <v>484</v>
      </c>
      <c r="C221" s="8">
        <f ca="1" t="shared" si="50"/>
        <v>46096</v>
      </c>
      <c r="D221" t="s">
        <v>296</v>
      </c>
      <c r="E221" s="10" t="s">
        <v>23</v>
      </c>
      <c r="F221" s="10" t="s">
        <v>43</v>
      </c>
      <c r="G221" s="10">
        <v>45000</v>
      </c>
      <c r="H221">
        <v>47</v>
      </c>
      <c r="I221" s="10">
        <v>60000</v>
      </c>
      <c r="J221" s="11">
        <f ca="1" t="shared" si="51"/>
        <v>15</v>
      </c>
      <c r="K221" s="10">
        <f ca="1" t="shared" si="46"/>
        <v>675000</v>
      </c>
      <c r="L221" s="10">
        <f ca="1" t="shared" si="47"/>
        <v>900000</v>
      </c>
      <c r="M221" t="s">
        <v>30</v>
      </c>
    </row>
    <row r="222" spans="1:13">
      <c r="A222" t="s">
        <v>485</v>
      </c>
      <c r="B222" t="s">
        <v>486</v>
      </c>
      <c r="C222" s="8">
        <f ca="1" t="shared" si="50"/>
        <v>46124</v>
      </c>
      <c r="D222" t="s">
        <v>296</v>
      </c>
      <c r="E222" s="10" t="s">
        <v>18</v>
      </c>
      <c r="F222" s="10" t="s">
        <v>19</v>
      </c>
      <c r="G222" s="10">
        <v>80000</v>
      </c>
      <c r="H222">
        <v>60</v>
      </c>
      <c r="I222" s="10">
        <v>120000</v>
      </c>
      <c r="J222" s="11">
        <f ca="1" t="shared" si="51"/>
        <v>15</v>
      </c>
      <c r="K222" s="10">
        <f ca="1" t="shared" si="46"/>
        <v>1200000</v>
      </c>
      <c r="L222" s="10">
        <f ca="1" t="shared" si="47"/>
        <v>1800000</v>
      </c>
      <c r="M222" t="s">
        <v>20</v>
      </c>
    </row>
    <row r="223" spans="1:13">
      <c r="A223" t="s">
        <v>487</v>
      </c>
      <c r="B223" t="s">
        <v>488</v>
      </c>
      <c r="C223" s="8">
        <f ca="1" t="shared" ref="C223:C232" si="52">RANDBETWEEN(DATE(2026,1,1),DATE(2026,4,30))</f>
        <v>46103</v>
      </c>
      <c r="D223" t="s">
        <v>296</v>
      </c>
      <c r="E223" s="10" t="s">
        <v>23</v>
      </c>
      <c r="F223" s="10" t="s">
        <v>33</v>
      </c>
      <c r="G223" s="10">
        <v>6000</v>
      </c>
      <c r="H223">
        <v>46</v>
      </c>
      <c r="I223" s="10">
        <v>12000</v>
      </c>
      <c r="J223" s="11">
        <f ca="1" t="shared" ref="J223:J232" si="53">RANDBETWEEN(15,20)</f>
        <v>15</v>
      </c>
      <c r="K223" s="10">
        <f ca="1" t="shared" si="46"/>
        <v>90000</v>
      </c>
      <c r="L223" s="10">
        <f ca="1" t="shared" si="47"/>
        <v>180000</v>
      </c>
      <c r="M223" t="s">
        <v>24</v>
      </c>
    </row>
    <row r="224" spans="1:13">
      <c r="A224" t="s">
        <v>489</v>
      </c>
      <c r="B224" t="s">
        <v>490</v>
      </c>
      <c r="C224" s="8">
        <f ca="1" t="shared" si="52"/>
        <v>46074</v>
      </c>
      <c r="D224" t="s">
        <v>296</v>
      </c>
      <c r="E224" s="10" t="s">
        <v>23</v>
      </c>
      <c r="F224" s="10" t="s">
        <v>52</v>
      </c>
      <c r="G224" s="10">
        <v>6000</v>
      </c>
      <c r="H224">
        <v>55</v>
      </c>
      <c r="I224" s="10">
        <v>12000</v>
      </c>
      <c r="J224" s="11">
        <f ca="1" t="shared" si="53"/>
        <v>15</v>
      </c>
      <c r="K224" s="10">
        <f ca="1" t="shared" si="46"/>
        <v>90000</v>
      </c>
      <c r="L224" s="10">
        <f ca="1" t="shared" si="47"/>
        <v>180000</v>
      </c>
      <c r="M224" t="s">
        <v>20</v>
      </c>
    </row>
    <row r="225" spans="1:13">
      <c r="A225" t="s">
        <v>491</v>
      </c>
      <c r="B225" t="s">
        <v>492</v>
      </c>
      <c r="C225" s="8">
        <f ca="1" t="shared" si="52"/>
        <v>46110</v>
      </c>
      <c r="D225" t="s">
        <v>150</v>
      </c>
      <c r="E225" s="10" t="s">
        <v>18</v>
      </c>
      <c r="F225" s="10" t="s">
        <v>52</v>
      </c>
      <c r="G225" s="10">
        <v>1200</v>
      </c>
      <c r="H225">
        <v>48</v>
      </c>
      <c r="I225" s="10">
        <v>3500</v>
      </c>
      <c r="J225" s="11">
        <f ca="1" t="shared" si="53"/>
        <v>15</v>
      </c>
      <c r="K225" s="10">
        <f ca="1" t="shared" si="46"/>
        <v>18000</v>
      </c>
      <c r="L225" s="10">
        <f ca="1" t="shared" si="47"/>
        <v>52500</v>
      </c>
      <c r="M225" t="s">
        <v>30</v>
      </c>
    </row>
    <row r="226" spans="1:13">
      <c r="A226" t="s">
        <v>493</v>
      </c>
      <c r="B226" t="s">
        <v>494</v>
      </c>
      <c r="C226" s="8">
        <f ca="1" t="shared" si="52"/>
        <v>46131</v>
      </c>
      <c r="D226" t="s">
        <v>150</v>
      </c>
      <c r="E226" s="10" t="s">
        <v>23</v>
      </c>
      <c r="F226" s="10" t="s">
        <v>19</v>
      </c>
      <c r="G226" s="10">
        <v>800</v>
      </c>
      <c r="H226">
        <v>38</v>
      </c>
      <c r="I226" s="10">
        <v>1500</v>
      </c>
      <c r="J226" s="11">
        <f ca="1" t="shared" si="53"/>
        <v>17</v>
      </c>
      <c r="K226" s="10">
        <f ca="1" t="shared" si="46"/>
        <v>13600</v>
      </c>
      <c r="L226" s="10">
        <f ca="1" t="shared" si="47"/>
        <v>25500</v>
      </c>
      <c r="M226" t="s">
        <v>30</v>
      </c>
    </row>
    <row r="227" spans="1:13">
      <c r="A227" t="s">
        <v>495</v>
      </c>
      <c r="B227" t="s">
        <v>496</v>
      </c>
      <c r="C227" s="8">
        <f ca="1" t="shared" si="52"/>
        <v>46047</v>
      </c>
      <c r="D227" t="s">
        <v>150</v>
      </c>
      <c r="E227" s="10" t="s">
        <v>18</v>
      </c>
      <c r="F227" s="10" t="s">
        <v>19</v>
      </c>
      <c r="G227" s="10">
        <v>8000</v>
      </c>
      <c r="H227">
        <v>68</v>
      </c>
      <c r="I227" s="10">
        <v>15000</v>
      </c>
      <c r="J227" s="11">
        <f ca="1" t="shared" si="53"/>
        <v>16</v>
      </c>
      <c r="K227" s="10">
        <f ca="1" t="shared" si="46"/>
        <v>128000</v>
      </c>
      <c r="L227" s="10">
        <f ca="1" t="shared" si="47"/>
        <v>240000</v>
      </c>
      <c r="M227" t="s">
        <v>20</v>
      </c>
    </row>
    <row r="228" spans="1:13">
      <c r="A228" t="s">
        <v>497</v>
      </c>
      <c r="B228" t="s">
        <v>498</v>
      </c>
      <c r="C228" s="8">
        <f ca="1" t="shared" si="52"/>
        <v>46090</v>
      </c>
      <c r="D228" t="s">
        <v>150</v>
      </c>
      <c r="E228" s="10" t="s">
        <v>23</v>
      </c>
      <c r="F228" s="10" t="s">
        <v>19</v>
      </c>
      <c r="G228" s="10">
        <v>6000</v>
      </c>
      <c r="H228">
        <v>63</v>
      </c>
      <c r="I228" s="10">
        <v>10000</v>
      </c>
      <c r="J228" s="11">
        <f ca="1" t="shared" si="53"/>
        <v>20</v>
      </c>
      <c r="K228" s="10">
        <f ca="1" t="shared" si="46"/>
        <v>120000</v>
      </c>
      <c r="L228" s="10">
        <f ca="1" t="shared" si="47"/>
        <v>200000</v>
      </c>
      <c r="M228" t="s">
        <v>20</v>
      </c>
    </row>
    <row r="229" spans="1:13">
      <c r="A229" t="s">
        <v>499</v>
      </c>
      <c r="B229" t="s">
        <v>500</v>
      </c>
      <c r="C229" s="8">
        <f ca="1" t="shared" si="52"/>
        <v>46025</v>
      </c>
      <c r="D229" t="s">
        <v>150</v>
      </c>
      <c r="E229" s="10" t="s">
        <v>23</v>
      </c>
      <c r="F229" s="10" t="s">
        <v>19</v>
      </c>
      <c r="G229" s="10">
        <v>1800</v>
      </c>
      <c r="H229">
        <v>37</v>
      </c>
      <c r="I229" s="10">
        <v>3500</v>
      </c>
      <c r="J229" s="11">
        <f ca="1" t="shared" si="53"/>
        <v>18</v>
      </c>
      <c r="K229" s="10">
        <f ca="1" t="shared" si="46"/>
        <v>32400</v>
      </c>
      <c r="L229" s="10">
        <f ca="1" t="shared" si="47"/>
        <v>63000</v>
      </c>
      <c r="M229" t="s">
        <v>20</v>
      </c>
    </row>
    <row r="230" spans="1:13">
      <c r="A230" t="s">
        <v>501</v>
      </c>
      <c r="B230" t="s">
        <v>502</v>
      </c>
      <c r="C230" s="8">
        <f ca="1" t="shared" si="52"/>
        <v>46032</v>
      </c>
      <c r="D230" t="s">
        <v>503</v>
      </c>
      <c r="E230" s="10" t="s">
        <v>18</v>
      </c>
      <c r="F230" s="10" t="s">
        <v>19</v>
      </c>
      <c r="G230" s="10">
        <v>600</v>
      </c>
      <c r="H230">
        <v>57</v>
      </c>
      <c r="I230" s="10">
        <v>1000</v>
      </c>
      <c r="J230" s="11">
        <f ca="1" t="shared" si="53"/>
        <v>17</v>
      </c>
      <c r="K230" s="10">
        <f ca="1" t="shared" si="46"/>
        <v>10200</v>
      </c>
      <c r="L230" s="10">
        <f ca="1" t="shared" si="47"/>
        <v>17000</v>
      </c>
      <c r="M230" t="s">
        <v>20</v>
      </c>
    </row>
    <row r="231" spans="1:13">
      <c r="A231" t="s">
        <v>504</v>
      </c>
      <c r="B231" t="s">
        <v>505</v>
      </c>
      <c r="C231" s="8">
        <f ca="1" t="shared" si="52"/>
        <v>46046</v>
      </c>
      <c r="D231" t="s">
        <v>503</v>
      </c>
      <c r="E231" s="10" t="s">
        <v>23</v>
      </c>
      <c r="F231" s="10" t="s">
        <v>33</v>
      </c>
      <c r="G231" s="10">
        <v>600</v>
      </c>
      <c r="H231">
        <v>34</v>
      </c>
      <c r="I231" s="10">
        <v>1500</v>
      </c>
      <c r="J231" s="11">
        <f ca="1" t="shared" si="53"/>
        <v>17</v>
      </c>
      <c r="K231" s="10">
        <f ca="1" t="shared" si="46"/>
        <v>10200</v>
      </c>
      <c r="L231" s="10">
        <f ca="1" t="shared" si="47"/>
        <v>25500</v>
      </c>
      <c r="M231" t="s">
        <v>20</v>
      </c>
    </row>
    <row r="232" spans="1:13">
      <c r="A232" t="s">
        <v>506</v>
      </c>
      <c r="B232" t="s">
        <v>507</v>
      </c>
      <c r="C232" s="8">
        <f ca="1" t="shared" si="52"/>
        <v>46059</v>
      </c>
      <c r="D232" t="s">
        <v>503</v>
      </c>
      <c r="E232" s="10" t="s">
        <v>18</v>
      </c>
      <c r="F232" s="10" t="s">
        <v>36</v>
      </c>
      <c r="G232" s="10">
        <v>600</v>
      </c>
      <c r="H232">
        <v>45</v>
      </c>
      <c r="I232" s="10">
        <v>1500</v>
      </c>
      <c r="J232" s="11">
        <f ca="1" t="shared" si="53"/>
        <v>19</v>
      </c>
      <c r="K232" s="10">
        <f ca="1" t="shared" si="46"/>
        <v>11400</v>
      </c>
      <c r="L232" s="10">
        <f ca="1" t="shared" si="47"/>
        <v>28500</v>
      </c>
      <c r="M232" t="s">
        <v>24</v>
      </c>
    </row>
    <row r="233" spans="1:13">
      <c r="A233" t="s">
        <v>508</v>
      </c>
      <c r="B233" t="s">
        <v>509</v>
      </c>
      <c r="C233" s="8">
        <f ca="1" t="shared" ref="C233:C242" si="54">RANDBETWEEN(DATE(2026,1,1),DATE(2026,4,30))</f>
        <v>46082</v>
      </c>
      <c r="D233" t="s">
        <v>503</v>
      </c>
      <c r="E233" s="10" t="s">
        <v>23</v>
      </c>
      <c r="F233" s="10" t="s">
        <v>19</v>
      </c>
      <c r="G233" s="10">
        <v>600</v>
      </c>
      <c r="H233">
        <v>37</v>
      </c>
      <c r="I233" s="10">
        <v>1000</v>
      </c>
      <c r="J233" s="11">
        <f ca="1" t="shared" ref="J233:J242" si="55">RANDBETWEEN(15,20)</f>
        <v>17</v>
      </c>
      <c r="K233" s="10">
        <f ca="1" t="shared" si="46"/>
        <v>10200</v>
      </c>
      <c r="L233" s="10">
        <f ca="1" t="shared" si="47"/>
        <v>17000</v>
      </c>
      <c r="M233" t="s">
        <v>24</v>
      </c>
    </row>
    <row r="234" spans="1:13">
      <c r="A234" t="s">
        <v>510</v>
      </c>
      <c r="B234" t="s">
        <v>511</v>
      </c>
      <c r="C234" s="8">
        <f ca="1" t="shared" si="54"/>
        <v>46108</v>
      </c>
      <c r="D234" t="s">
        <v>476</v>
      </c>
      <c r="E234" s="10" t="s">
        <v>23</v>
      </c>
      <c r="F234" s="10" t="s">
        <v>36</v>
      </c>
      <c r="G234" s="10">
        <v>600</v>
      </c>
      <c r="H234">
        <v>45</v>
      </c>
      <c r="I234" s="10">
        <v>1000</v>
      </c>
      <c r="J234" s="11">
        <f ca="1" t="shared" si="55"/>
        <v>19</v>
      </c>
      <c r="K234" s="10">
        <f ca="1" t="shared" si="46"/>
        <v>11400</v>
      </c>
      <c r="L234" s="10">
        <f ca="1" t="shared" si="47"/>
        <v>19000</v>
      </c>
      <c r="M234" t="s">
        <v>24</v>
      </c>
    </row>
    <row r="235" spans="1:13">
      <c r="A235" t="s">
        <v>512</v>
      </c>
      <c r="B235" t="s">
        <v>513</v>
      </c>
      <c r="C235" s="8">
        <f ca="1" t="shared" si="54"/>
        <v>46120</v>
      </c>
      <c r="D235" t="s">
        <v>476</v>
      </c>
      <c r="E235" s="10" t="s">
        <v>18</v>
      </c>
      <c r="F235" s="10" t="s">
        <v>43</v>
      </c>
      <c r="G235" s="10">
        <v>600</v>
      </c>
      <c r="H235">
        <v>46</v>
      </c>
      <c r="I235" s="10">
        <v>1000</v>
      </c>
      <c r="J235" s="11">
        <f ca="1" t="shared" si="55"/>
        <v>19</v>
      </c>
      <c r="K235" s="10">
        <f ca="1" t="shared" si="46"/>
        <v>11400</v>
      </c>
      <c r="L235" s="10">
        <f ca="1" t="shared" si="47"/>
        <v>19000</v>
      </c>
      <c r="M235" t="s">
        <v>30</v>
      </c>
    </row>
    <row r="236" spans="1:13">
      <c r="A236" t="s">
        <v>514</v>
      </c>
      <c r="B236" t="s">
        <v>515</v>
      </c>
      <c r="C236" s="8">
        <f ca="1" t="shared" si="54"/>
        <v>46065</v>
      </c>
      <c r="D236" t="s">
        <v>476</v>
      </c>
      <c r="E236" s="10" t="s">
        <v>23</v>
      </c>
      <c r="F236" s="10" t="s">
        <v>43</v>
      </c>
      <c r="G236" s="10">
        <v>600</v>
      </c>
      <c r="H236">
        <v>52</v>
      </c>
      <c r="I236" s="10">
        <v>1500</v>
      </c>
      <c r="J236" s="11">
        <f ca="1" t="shared" si="55"/>
        <v>20</v>
      </c>
      <c r="K236" s="10">
        <f ca="1" t="shared" si="46"/>
        <v>12000</v>
      </c>
      <c r="L236" s="10">
        <f ca="1" t="shared" si="47"/>
        <v>30000</v>
      </c>
      <c r="M236" t="s">
        <v>30</v>
      </c>
    </row>
    <row r="237" spans="1:13">
      <c r="A237" t="s">
        <v>516</v>
      </c>
      <c r="B237" t="s">
        <v>517</v>
      </c>
      <c r="C237" s="8">
        <f ca="1" t="shared" si="54"/>
        <v>46058</v>
      </c>
      <c r="D237" t="s">
        <v>476</v>
      </c>
      <c r="E237" s="10" t="s">
        <v>18</v>
      </c>
      <c r="F237" s="10" t="s">
        <v>19</v>
      </c>
      <c r="G237" s="10">
        <v>800</v>
      </c>
      <c r="H237">
        <v>48</v>
      </c>
      <c r="I237" s="10">
        <v>2000</v>
      </c>
      <c r="J237" s="11">
        <f ca="1" t="shared" si="55"/>
        <v>17</v>
      </c>
      <c r="K237" s="10">
        <f ca="1" t="shared" si="46"/>
        <v>13600</v>
      </c>
      <c r="L237" s="10">
        <f ca="1" t="shared" si="47"/>
        <v>34000</v>
      </c>
      <c r="M237" t="s">
        <v>30</v>
      </c>
    </row>
    <row r="238" spans="1:13">
      <c r="A238" t="s">
        <v>518</v>
      </c>
      <c r="B238" t="s">
        <v>519</v>
      </c>
      <c r="C238" s="8">
        <f ca="1" t="shared" si="54"/>
        <v>46031</v>
      </c>
      <c r="D238" t="s">
        <v>476</v>
      </c>
      <c r="E238" s="10" t="s">
        <v>23</v>
      </c>
      <c r="F238" s="10" t="s">
        <v>33</v>
      </c>
      <c r="G238" s="10">
        <v>800</v>
      </c>
      <c r="H238">
        <v>50</v>
      </c>
      <c r="I238" s="10">
        <v>2000</v>
      </c>
      <c r="J238" s="11">
        <f ca="1" t="shared" si="55"/>
        <v>18</v>
      </c>
      <c r="K238" s="10">
        <f ca="1" t="shared" si="46"/>
        <v>14400</v>
      </c>
      <c r="L238" s="10">
        <f ca="1" t="shared" si="47"/>
        <v>36000</v>
      </c>
      <c r="M238" t="s">
        <v>30</v>
      </c>
    </row>
    <row r="239" spans="1:13">
      <c r="A239" t="s">
        <v>520</v>
      </c>
      <c r="B239" t="s">
        <v>521</v>
      </c>
      <c r="C239" s="8">
        <f ca="1" t="shared" si="54"/>
        <v>46023</v>
      </c>
      <c r="D239" t="s">
        <v>476</v>
      </c>
      <c r="E239" s="10" t="s">
        <v>23</v>
      </c>
      <c r="F239" s="10" t="s">
        <v>52</v>
      </c>
      <c r="G239" s="10">
        <v>800</v>
      </c>
      <c r="H239">
        <v>61</v>
      </c>
      <c r="I239" s="10">
        <v>2500</v>
      </c>
      <c r="J239" s="11">
        <f ca="1" t="shared" si="55"/>
        <v>17</v>
      </c>
      <c r="K239" s="10">
        <f ca="1" t="shared" si="46"/>
        <v>13600</v>
      </c>
      <c r="L239" s="10">
        <f ca="1" t="shared" si="47"/>
        <v>42500</v>
      </c>
      <c r="M239" t="s">
        <v>30</v>
      </c>
    </row>
    <row r="240" spans="1:13">
      <c r="A240" t="s">
        <v>522</v>
      </c>
      <c r="B240" t="s">
        <v>523</v>
      </c>
      <c r="C240" s="8">
        <f ca="1" t="shared" si="54"/>
        <v>46080</v>
      </c>
      <c r="D240" t="s">
        <v>476</v>
      </c>
      <c r="E240" s="10" t="s">
        <v>18</v>
      </c>
      <c r="F240" s="10" t="s">
        <v>52</v>
      </c>
      <c r="G240" s="10">
        <v>1500</v>
      </c>
      <c r="H240">
        <v>63</v>
      </c>
      <c r="I240" s="10">
        <v>3000</v>
      </c>
      <c r="J240" s="11">
        <f ca="1" t="shared" si="55"/>
        <v>15</v>
      </c>
      <c r="K240" s="10">
        <f ca="1" t="shared" si="46"/>
        <v>22500</v>
      </c>
      <c r="L240" s="10">
        <f ca="1" t="shared" si="47"/>
        <v>45000</v>
      </c>
      <c r="M240" t="s">
        <v>20</v>
      </c>
    </row>
    <row r="241" spans="1:13">
      <c r="A241" t="s">
        <v>524</v>
      </c>
      <c r="B241" t="s">
        <v>525</v>
      </c>
      <c r="C241" s="8">
        <f ca="1" t="shared" si="54"/>
        <v>46103</v>
      </c>
      <c r="D241" t="s">
        <v>476</v>
      </c>
      <c r="E241" s="10" t="s">
        <v>23</v>
      </c>
      <c r="F241" s="10" t="s">
        <v>19</v>
      </c>
      <c r="G241" s="10">
        <v>1500</v>
      </c>
      <c r="H241">
        <v>38</v>
      </c>
      <c r="I241" s="10">
        <v>3500</v>
      </c>
      <c r="J241" s="11">
        <f ca="1" t="shared" si="55"/>
        <v>20</v>
      </c>
      <c r="K241" s="10">
        <f ca="1" t="shared" si="46"/>
        <v>30000</v>
      </c>
      <c r="L241" s="10">
        <f ca="1" t="shared" si="47"/>
        <v>70000</v>
      </c>
      <c r="M241" t="s">
        <v>24</v>
      </c>
    </row>
    <row r="242" spans="1:13">
      <c r="A242" t="s">
        <v>526</v>
      </c>
      <c r="B242" t="s">
        <v>527</v>
      </c>
      <c r="C242" s="8">
        <f ca="1" t="shared" si="54"/>
        <v>46087</v>
      </c>
      <c r="D242" t="s">
        <v>476</v>
      </c>
      <c r="E242" s="10" t="s">
        <v>18</v>
      </c>
      <c r="F242" s="10" t="s">
        <v>19</v>
      </c>
      <c r="G242" s="10">
        <v>1800</v>
      </c>
      <c r="H242">
        <v>60</v>
      </c>
      <c r="I242" s="10">
        <v>4000</v>
      </c>
      <c r="J242" s="11">
        <f ca="1" t="shared" si="55"/>
        <v>18</v>
      </c>
      <c r="K242" s="10">
        <f ca="1" t="shared" si="46"/>
        <v>32400</v>
      </c>
      <c r="L242" s="10">
        <f ca="1" t="shared" si="47"/>
        <v>72000</v>
      </c>
      <c r="M242" t="s">
        <v>20</v>
      </c>
    </row>
    <row r="243" spans="1:13">
      <c r="A243" t="s">
        <v>528</v>
      </c>
      <c r="B243" t="s">
        <v>529</v>
      </c>
      <c r="C243" s="8">
        <f ca="1" t="shared" ref="C243:C252" si="56">RANDBETWEEN(DATE(2026,1,1),DATE(2026,4,30))</f>
        <v>46108</v>
      </c>
      <c r="D243" t="s">
        <v>476</v>
      </c>
      <c r="E243" s="10" t="s">
        <v>23</v>
      </c>
      <c r="F243" s="10" t="s">
        <v>19</v>
      </c>
      <c r="G243" s="10">
        <v>1800</v>
      </c>
      <c r="H243">
        <v>36</v>
      </c>
      <c r="I243" s="10">
        <v>4000</v>
      </c>
      <c r="J243" s="11">
        <f ca="1" t="shared" ref="J243:J252" si="57">RANDBETWEEN(15,20)</f>
        <v>17</v>
      </c>
      <c r="K243" s="10">
        <f ca="1" t="shared" si="46"/>
        <v>30600</v>
      </c>
      <c r="L243" s="10">
        <f ca="1" t="shared" si="47"/>
        <v>68000</v>
      </c>
      <c r="M243" t="s">
        <v>30</v>
      </c>
    </row>
    <row r="244" spans="1:13">
      <c r="A244" t="s">
        <v>530</v>
      </c>
      <c r="B244" t="s">
        <v>531</v>
      </c>
      <c r="C244" s="8">
        <f ca="1" t="shared" si="56"/>
        <v>46102</v>
      </c>
      <c r="D244" t="s">
        <v>476</v>
      </c>
      <c r="E244" s="10" t="s">
        <v>23</v>
      </c>
      <c r="F244" s="10" t="s">
        <v>19</v>
      </c>
      <c r="G244" s="10">
        <v>1800</v>
      </c>
      <c r="H244">
        <v>33</v>
      </c>
      <c r="I244" s="10">
        <v>5000</v>
      </c>
      <c r="J244" s="11">
        <f ca="1" t="shared" si="57"/>
        <v>18</v>
      </c>
      <c r="K244" s="10">
        <f ca="1" t="shared" si="46"/>
        <v>32400</v>
      </c>
      <c r="L244" s="10">
        <f ca="1" t="shared" si="47"/>
        <v>90000</v>
      </c>
      <c r="M244" t="s">
        <v>20</v>
      </c>
    </row>
    <row r="245" spans="1:13">
      <c r="A245" t="s">
        <v>532</v>
      </c>
      <c r="B245" t="s">
        <v>533</v>
      </c>
      <c r="C245" s="8">
        <f ca="1" t="shared" si="56"/>
        <v>46034</v>
      </c>
      <c r="D245" t="s">
        <v>476</v>
      </c>
      <c r="E245" s="10" t="s">
        <v>18</v>
      </c>
      <c r="F245" s="10" t="s">
        <v>19</v>
      </c>
      <c r="G245" s="10">
        <v>250</v>
      </c>
      <c r="H245">
        <v>70</v>
      </c>
      <c r="I245" s="10">
        <v>500</v>
      </c>
      <c r="J245" s="11">
        <f ca="1" t="shared" si="57"/>
        <v>15</v>
      </c>
      <c r="K245" s="10">
        <f ca="1" t="shared" si="46"/>
        <v>3750</v>
      </c>
      <c r="L245" s="10">
        <f ca="1" t="shared" si="47"/>
        <v>7500</v>
      </c>
      <c r="M245" t="s">
        <v>24</v>
      </c>
    </row>
    <row r="246" spans="1:13">
      <c r="A246" t="s">
        <v>534</v>
      </c>
      <c r="B246" t="s">
        <v>535</v>
      </c>
      <c r="C246" s="8">
        <f ca="1" t="shared" si="56"/>
        <v>46056</v>
      </c>
      <c r="D246" t="s">
        <v>476</v>
      </c>
      <c r="E246" s="10" t="s">
        <v>23</v>
      </c>
      <c r="F246" s="10" t="s">
        <v>33</v>
      </c>
      <c r="G246" s="10">
        <v>250</v>
      </c>
      <c r="H246">
        <v>65</v>
      </c>
      <c r="I246" s="10">
        <v>500</v>
      </c>
      <c r="J246" s="11">
        <f ca="1" t="shared" si="57"/>
        <v>20</v>
      </c>
      <c r="K246" s="10">
        <f ca="1" t="shared" si="46"/>
        <v>5000</v>
      </c>
      <c r="L246" s="10">
        <f ca="1" t="shared" si="47"/>
        <v>10000</v>
      </c>
      <c r="M246" t="s">
        <v>20</v>
      </c>
    </row>
    <row r="247" spans="1:13">
      <c r="A247" t="s">
        <v>536</v>
      </c>
      <c r="B247" t="s">
        <v>537</v>
      </c>
      <c r="C247" s="8">
        <f ca="1" t="shared" si="56"/>
        <v>46044</v>
      </c>
      <c r="D247" t="s">
        <v>476</v>
      </c>
      <c r="E247" s="10" t="s">
        <v>18</v>
      </c>
      <c r="F247" s="10" t="s">
        <v>36</v>
      </c>
      <c r="G247" s="10">
        <v>250</v>
      </c>
      <c r="H247">
        <v>67</v>
      </c>
      <c r="I247" s="10">
        <v>500</v>
      </c>
      <c r="J247" s="11">
        <f ca="1" t="shared" si="57"/>
        <v>19</v>
      </c>
      <c r="K247" s="10">
        <f ca="1" t="shared" si="46"/>
        <v>4750</v>
      </c>
      <c r="L247" s="10">
        <f ca="1" t="shared" si="47"/>
        <v>9500</v>
      </c>
      <c r="M247" t="s">
        <v>30</v>
      </c>
    </row>
    <row r="248" spans="1:13">
      <c r="A248" t="s">
        <v>538</v>
      </c>
      <c r="B248" t="s">
        <v>539</v>
      </c>
      <c r="C248" s="8">
        <f ca="1" t="shared" si="56"/>
        <v>46040</v>
      </c>
      <c r="D248" t="s">
        <v>476</v>
      </c>
      <c r="E248" s="10" t="s">
        <v>23</v>
      </c>
      <c r="F248" s="10" t="s">
        <v>19</v>
      </c>
      <c r="G248" s="10">
        <v>250</v>
      </c>
      <c r="H248">
        <v>50</v>
      </c>
      <c r="I248" s="10">
        <v>500</v>
      </c>
      <c r="J248" s="11">
        <f ca="1" t="shared" si="57"/>
        <v>16</v>
      </c>
      <c r="K248" s="10">
        <f ca="1" t="shared" si="46"/>
        <v>4000</v>
      </c>
      <c r="L248" s="10">
        <f ca="1" t="shared" si="47"/>
        <v>8000</v>
      </c>
      <c r="M248" t="s">
        <v>30</v>
      </c>
    </row>
    <row r="249" spans="1:13">
      <c r="A249" t="s">
        <v>540</v>
      </c>
      <c r="B249" t="s">
        <v>541</v>
      </c>
      <c r="C249" s="8">
        <f ca="1" t="shared" si="56"/>
        <v>46058</v>
      </c>
      <c r="D249" t="s">
        <v>476</v>
      </c>
      <c r="E249" s="10" t="s">
        <v>23</v>
      </c>
      <c r="F249" s="10" t="s">
        <v>36</v>
      </c>
      <c r="G249" s="10">
        <v>250</v>
      </c>
      <c r="H249">
        <v>38</v>
      </c>
      <c r="I249" s="10">
        <v>500</v>
      </c>
      <c r="J249" s="11">
        <f ca="1" t="shared" si="57"/>
        <v>17</v>
      </c>
      <c r="K249" s="10">
        <f ca="1" t="shared" si="46"/>
        <v>4250</v>
      </c>
      <c r="L249" s="10">
        <f ca="1" t="shared" si="47"/>
        <v>8500</v>
      </c>
      <c r="M249" t="s">
        <v>20</v>
      </c>
    </row>
    <row r="250" spans="1:13">
      <c r="A250" t="s">
        <v>542</v>
      </c>
      <c r="B250" t="s">
        <v>543</v>
      </c>
      <c r="C250" s="8">
        <f ca="1" t="shared" si="56"/>
        <v>46030</v>
      </c>
      <c r="D250" t="s">
        <v>476</v>
      </c>
      <c r="E250" s="10" t="s">
        <v>18</v>
      </c>
      <c r="F250" s="10" t="s">
        <v>43</v>
      </c>
      <c r="G250" s="10">
        <v>250</v>
      </c>
      <c r="H250">
        <v>57</v>
      </c>
      <c r="I250" s="10">
        <v>500</v>
      </c>
      <c r="J250" s="11">
        <f ca="1" t="shared" si="57"/>
        <v>15</v>
      </c>
      <c r="K250" s="10">
        <f ca="1" t="shared" si="46"/>
        <v>3750</v>
      </c>
      <c r="L250" s="10">
        <f ca="1" t="shared" si="47"/>
        <v>7500</v>
      </c>
      <c r="M250" t="s">
        <v>20</v>
      </c>
    </row>
    <row r="251" spans="1:13">
      <c r="A251" t="s">
        <v>544</v>
      </c>
      <c r="B251" t="s">
        <v>545</v>
      </c>
      <c r="C251" s="8">
        <f ca="1" t="shared" si="56"/>
        <v>46037</v>
      </c>
      <c r="D251" t="s">
        <v>546</v>
      </c>
      <c r="E251" s="10" t="s">
        <v>23</v>
      </c>
      <c r="F251" s="10" t="s">
        <v>43</v>
      </c>
      <c r="G251" s="10">
        <v>300</v>
      </c>
      <c r="H251">
        <v>56</v>
      </c>
      <c r="I251" s="10">
        <v>1000</v>
      </c>
      <c r="J251" s="11">
        <f ca="1" t="shared" si="57"/>
        <v>15</v>
      </c>
      <c r="K251" s="10">
        <f ca="1" t="shared" si="46"/>
        <v>4500</v>
      </c>
      <c r="L251" s="10">
        <f ca="1" t="shared" si="47"/>
        <v>15000</v>
      </c>
      <c r="M251" t="s">
        <v>20</v>
      </c>
    </row>
    <row r="252" spans="1:13">
      <c r="A252" t="s">
        <v>547</v>
      </c>
      <c r="B252" t="s">
        <v>548</v>
      </c>
      <c r="C252" s="8">
        <f ca="1" t="shared" si="56"/>
        <v>46123</v>
      </c>
      <c r="D252" t="s">
        <v>546</v>
      </c>
      <c r="E252" s="10" t="s">
        <v>18</v>
      </c>
      <c r="F252" s="10" t="s">
        <v>19</v>
      </c>
      <c r="G252" s="10">
        <v>250</v>
      </c>
      <c r="H252">
        <v>66</v>
      </c>
      <c r="I252" s="10">
        <v>500</v>
      </c>
      <c r="J252" s="11">
        <f ca="1" t="shared" si="57"/>
        <v>17</v>
      </c>
      <c r="K252" s="10">
        <f ca="1" t="shared" si="46"/>
        <v>4250</v>
      </c>
      <c r="L252" s="10">
        <f ca="1" t="shared" si="47"/>
        <v>8500</v>
      </c>
      <c r="M252" t="s">
        <v>20</v>
      </c>
    </row>
    <row r="253" spans="1:13">
      <c r="A253" t="s">
        <v>549</v>
      </c>
      <c r="B253" t="s">
        <v>550</v>
      </c>
      <c r="C253" s="8">
        <f ca="1" t="shared" ref="C253:C262" si="58">RANDBETWEEN(DATE(2026,1,1),DATE(2026,4,30))</f>
        <v>46024</v>
      </c>
      <c r="D253" t="s">
        <v>546</v>
      </c>
      <c r="E253" s="10" t="s">
        <v>23</v>
      </c>
      <c r="F253" s="10" t="s">
        <v>33</v>
      </c>
      <c r="G253" s="10">
        <v>250</v>
      </c>
      <c r="H253">
        <v>66</v>
      </c>
      <c r="I253" s="10">
        <v>500</v>
      </c>
      <c r="J253" s="11">
        <f ca="1" t="shared" ref="J253:J262" si="59">RANDBETWEEN(15,20)</f>
        <v>16</v>
      </c>
      <c r="K253" s="10">
        <f ca="1" t="shared" si="46"/>
        <v>4000</v>
      </c>
      <c r="L253" s="10">
        <f ca="1" t="shared" si="47"/>
        <v>8000</v>
      </c>
      <c r="M253" t="s">
        <v>20</v>
      </c>
    </row>
    <row r="254" spans="1:13">
      <c r="A254" t="s">
        <v>551</v>
      </c>
      <c r="B254" t="s">
        <v>552</v>
      </c>
      <c r="C254" s="8">
        <f ca="1" t="shared" si="58"/>
        <v>46032</v>
      </c>
      <c r="D254" t="s">
        <v>546</v>
      </c>
      <c r="E254" s="10" t="s">
        <v>23</v>
      </c>
      <c r="F254" s="10" t="s">
        <v>52</v>
      </c>
      <c r="G254" s="10">
        <v>500</v>
      </c>
      <c r="H254">
        <v>33</v>
      </c>
      <c r="I254" s="10">
        <v>1500</v>
      </c>
      <c r="J254" s="11">
        <f ca="1" t="shared" si="59"/>
        <v>19</v>
      </c>
      <c r="K254" s="10">
        <f ca="1" t="shared" si="46"/>
        <v>9500</v>
      </c>
      <c r="L254" s="10">
        <f ca="1" t="shared" si="47"/>
        <v>28500</v>
      </c>
      <c r="M254" t="s">
        <v>24</v>
      </c>
    </row>
    <row r="255" spans="1:13">
      <c r="A255" t="s">
        <v>553</v>
      </c>
      <c r="B255" t="s">
        <v>554</v>
      </c>
      <c r="C255" s="8">
        <f ca="1" t="shared" si="58"/>
        <v>46119</v>
      </c>
      <c r="D255" t="s">
        <v>546</v>
      </c>
      <c r="E255" s="10" t="s">
        <v>18</v>
      </c>
      <c r="F255" s="10" t="s">
        <v>52</v>
      </c>
      <c r="G255" s="10">
        <v>100</v>
      </c>
      <c r="H255">
        <v>36</v>
      </c>
      <c r="I255" s="10">
        <v>300</v>
      </c>
      <c r="J255" s="11">
        <f ca="1" t="shared" si="59"/>
        <v>17</v>
      </c>
      <c r="K255" s="10">
        <f ca="1" t="shared" si="46"/>
        <v>1700</v>
      </c>
      <c r="L255" s="10">
        <f ca="1" t="shared" si="47"/>
        <v>5100</v>
      </c>
      <c r="M255" t="s">
        <v>24</v>
      </c>
    </row>
    <row r="256" spans="1:13">
      <c r="A256" t="s">
        <v>555</v>
      </c>
      <c r="B256" t="s">
        <v>556</v>
      </c>
      <c r="C256" s="8">
        <f ca="1" t="shared" si="58"/>
        <v>46036</v>
      </c>
      <c r="D256" t="s">
        <v>557</v>
      </c>
      <c r="E256" s="10" t="s">
        <v>23</v>
      </c>
      <c r="F256" s="10" t="s">
        <v>19</v>
      </c>
      <c r="G256" s="10">
        <v>700</v>
      </c>
      <c r="H256">
        <v>49</v>
      </c>
      <c r="I256" s="10">
        <v>1500</v>
      </c>
      <c r="J256" s="11">
        <f ca="1" t="shared" si="59"/>
        <v>15</v>
      </c>
      <c r="K256" s="10">
        <f ca="1" t="shared" si="46"/>
        <v>10500</v>
      </c>
      <c r="L256" s="10">
        <f ca="1" t="shared" si="47"/>
        <v>22500</v>
      </c>
      <c r="M256" t="s">
        <v>24</v>
      </c>
    </row>
    <row r="257" spans="1:13">
      <c r="A257" t="s">
        <v>558</v>
      </c>
      <c r="B257" t="s">
        <v>559</v>
      </c>
      <c r="C257" s="8">
        <f ca="1" t="shared" si="58"/>
        <v>46092</v>
      </c>
      <c r="D257" t="s">
        <v>557</v>
      </c>
      <c r="E257" s="10" t="s">
        <v>18</v>
      </c>
      <c r="F257" s="10" t="s">
        <v>19</v>
      </c>
      <c r="G257" s="10">
        <v>1000</v>
      </c>
      <c r="H257">
        <v>40</v>
      </c>
      <c r="I257" s="10">
        <v>3000</v>
      </c>
      <c r="J257" s="11">
        <f ca="1" t="shared" si="59"/>
        <v>15</v>
      </c>
      <c r="K257" s="10">
        <f ca="1" t="shared" si="46"/>
        <v>15000</v>
      </c>
      <c r="L257" s="10">
        <f ca="1" t="shared" si="47"/>
        <v>45000</v>
      </c>
      <c r="M257" t="s">
        <v>30</v>
      </c>
    </row>
    <row r="258" spans="1:13">
      <c r="A258" t="s">
        <v>560</v>
      </c>
      <c r="B258" t="s">
        <v>561</v>
      </c>
      <c r="C258" s="8">
        <f ca="1" t="shared" si="58"/>
        <v>46098</v>
      </c>
      <c r="D258" t="s">
        <v>557</v>
      </c>
      <c r="E258" s="10" t="s">
        <v>23</v>
      </c>
      <c r="F258" s="10" t="s">
        <v>19</v>
      </c>
      <c r="G258" s="10">
        <v>700</v>
      </c>
      <c r="H258">
        <v>45</v>
      </c>
      <c r="I258" s="10">
        <v>1500</v>
      </c>
      <c r="J258" s="11">
        <f ca="1" t="shared" si="59"/>
        <v>20</v>
      </c>
      <c r="K258" s="10">
        <f ca="1" t="shared" si="46"/>
        <v>14000</v>
      </c>
      <c r="L258" s="10">
        <f ca="1" t="shared" si="47"/>
        <v>30000</v>
      </c>
      <c r="M258" t="s">
        <v>30</v>
      </c>
    </row>
    <row r="259" spans="1:13">
      <c r="A259" t="s">
        <v>562</v>
      </c>
      <c r="B259" t="s">
        <v>563</v>
      </c>
      <c r="C259" s="8">
        <f ca="1" t="shared" si="58"/>
        <v>46092</v>
      </c>
      <c r="D259" t="s">
        <v>557</v>
      </c>
      <c r="E259" s="10" t="s">
        <v>23</v>
      </c>
      <c r="F259" s="10" t="s">
        <v>19</v>
      </c>
      <c r="G259" s="10">
        <v>1000</v>
      </c>
      <c r="H259">
        <v>69</v>
      </c>
      <c r="I259" s="10">
        <v>3000</v>
      </c>
      <c r="J259" s="11">
        <f ca="1" t="shared" si="59"/>
        <v>17</v>
      </c>
      <c r="K259" s="10">
        <f ca="1" t="shared" ref="K259:K271" si="60">G259*J259</f>
        <v>17000</v>
      </c>
      <c r="L259" s="10">
        <f ca="1" t="shared" ref="L259:L271" si="61">I259*J259</f>
        <v>51000</v>
      </c>
      <c r="M259" t="s">
        <v>30</v>
      </c>
    </row>
    <row r="260" spans="1:13">
      <c r="A260" t="s">
        <v>564</v>
      </c>
      <c r="B260" t="s">
        <v>565</v>
      </c>
      <c r="C260" s="8">
        <f ca="1" t="shared" si="58"/>
        <v>46119</v>
      </c>
      <c r="D260" t="s">
        <v>557</v>
      </c>
      <c r="E260" s="10" t="s">
        <v>18</v>
      </c>
      <c r="F260" s="10" t="s">
        <v>19</v>
      </c>
      <c r="G260" s="10">
        <v>700</v>
      </c>
      <c r="H260">
        <v>62</v>
      </c>
      <c r="I260" s="10">
        <v>1500</v>
      </c>
      <c r="J260" s="11">
        <f ca="1" t="shared" si="59"/>
        <v>19</v>
      </c>
      <c r="K260" s="10">
        <f ca="1" t="shared" si="60"/>
        <v>13300</v>
      </c>
      <c r="L260" s="10">
        <f ca="1" t="shared" si="61"/>
        <v>28500</v>
      </c>
      <c r="M260" t="s">
        <v>30</v>
      </c>
    </row>
    <row r="261" spans="1:13">
      <c r="A261" t="s">
        <v>566</v>
      </c>
      <c r="B261" t="s">
        <v>567</v>
      </c>
      <c r="C261" s="8">
        <f ca="1" t="shared" si="58"/>
        <v>46060</v>
      </c>
      <c r="D261" t="s">
        <v>557</v>
      </c>
      <c r="E261" s="10" t="s">
        <v>23</v>
      </c>
      <c r="F261" s="10" t="s">
        <v>33</v>
      </c>
      <c r="G261" s="10">
        <v>1000</v>
      </c>
      <c r="H261">
        <v>30</v>
      </c>
      <c r="I261" s="10">
        <v>3000</v>
      </c>
      <c r="J261" s="11">
        <f ca="1" t="shared" si="59"/>
        <v>20</v>
      </c>
      <c r="K261" s="10">
        <f ca="1" t="shared" si="60"/>
        <v>20000</v>
      </c>
      <c r="L261" s="10">
        <f ca="1" t="shared" si="61"/>
        <v>60000</v>
      </c>
      <c r="M261" t="s">
        <v>30</v>
      </c>
    </row>
    <row r="262" spans="1:13">
      <c r="A262" t="s">
        <v>568</v>
      </c>
      <c r="B262" t="s">
        <v>569</v>
      </c>
      <c r="C262" s="8">
        <f ca="1" t="shared" si="58"/>
        <v>46038</v>
      </c>
      <c r="D262" t="s">
        <v>557</v>
      </c>
      <c r="E262" s="10" t="s">
        <v>18</v>
      </c>
      <c r="F262" s="10" t="s">
        <v>36</v>
      </c>
      <c r="G262" s="10">
        <v>700</v>
      </c>
      <c r="H262">
        <v>43</v>
      </c>
      <c r="I262" s="10">
        <v>1500</v>
      </c>
      <c r="J262" s="11">
        <f ca="1" t="shared" si="59"/>
        <v>17</v>
      </c>
      <c r="K262" s="10">
        <f ca="1" t="shared" si="60"/>
        <v>11900</v>
      </c>
      <c r="L262" s="10">
        <f ca="1" t="shared" si="61"/>
        <v>25500</v>
      </c>
      <c r="M262" t="s">
        <v>20</v>
      </c>
    </row>
    <row r="263" spans="1:13">
      <c r="A263" t="s">
        <v>570</v>
      </c>
      <c r="B263" t="s">
        <v>571</v>
      </c>
      <c r="C263" s="8">
        <f ca="1" t="shared" ref="C263:C271" si="62">RANDBETWEEN(DATE(2026,1,1),DATE(2026,4,30))</f>
        <v>46023</v>
      </c>
      <c r="D263" t="s">
        <v>557</v>
      </c>
      <c r="E263" s="10" t="s">
        <v>23</v>
      </c>
      <c r="F263" s="10" t="s">
        <v>19</v>
      </c>
      <c r="G263" s="10">
        <v>700</v>
      </c>
      <c r="H263">
        <v>49</v>
      </c>
      <c r="I263" s="10">
        <v>1500</v>
      </c>
      <c r="J263" s="11">
        <f ca="1" t="shared" ref="J263:J271" si="63">RANDBETWEEN(15,20)</f>
        <v>17</v>
      </c>
      <c r="K263" s="10">
        <f ca="1" t="shared" si="60"/>
        <v>11900</v>
      </c>
      <c r="L263" s="10">
        <f ca="1" t="shared" si="61"/>
        <v>25500</v>
      </c>
      <c r="M263" t="s">
        <v>24</v>
      </c>
    </row>
    <row r="264" spans="1:13">
      <c r="A264" t="s">
        <v>572</v>
      </c>
      <c r="B264" t="s">
        <v>573</v>
      </c>
      <c r="C264" s="8">
        <f ca="1" t="shared" si="62"/>
        <v>46058</v>
      </c>
      <c r="D264" t="s">
        <v>574</v>
      </c>
      <c r="E264" s="10" t="s">
        <v>23</v>
      </c>
      <c r="F264" s="10" t="s">
        <v>36</v>
      </c>
      <c r="G264" s="10">
        <v>700</v>
      </c>
      <c r="H264">
        <v>42</v>
      </c>
      <c r="I264" s="10">
        <v>3000</v>
      </c>
      <c r="J264" s="11">
        <f ca="1" t="shared" si="63"/>
        <v>15</v>
      </c>
      <c r="K264" s="10">
        <f ca="1" t="shared" si="60"/>
        <v>10500</v>
      </c>
      <c r="L264" s="10">
        <f ca="1" t="shared" si="61"/>
        <v>45000</v>
      </c>
      <c r="M264" t="s">
        <v>20</v>
      </c>
    </row>
    <row r="265" spans="1:13">
      <c r="A265" t="s">
        <v>575</v>
      </c>
      <c r="B265" t="s">
        <v>576</v>
      </c>
      <c r="C265" s="8">
        <f ca="1" t="shared" si="62"/>
        <v>46047</v>
      </c>
      <c r="D265" t="s">
        <v>574</v>
      </c>
      <c r="E265" s="10" t="s">
        <v>18</v>
      </c>
      <c r="F265" s="10" t="s">
        <v>43</v>
      </c>
      <c r="G265" s="10">
        <v>700</v>
      </c>
      <c r="H265">
        <v>59</v>
      </c>
      <c r="I265" s="10">
        <v>3000</v>
      </c>
      <c r="J265" s="11">
        <f ca="1" t="shared" si="63"/>
        <v>20</v>
      </c>
      <c r="K265" s="10">
        <f ca="1" t="shared" si="60"/>
        <v>14000</v>
      </c>
      <c r="L265" s="10">
        <f ca="1" t="shared" si="61"/>
        <v>60000</v>
      </c>
      <c r="M265" t="s">
        <v>30</v>
      </c>
    </row>
    <row r="266" spans="1:13">
      <c r="A266" t="s">
        <v>577</v>
      </c>
      <c r="B266" t="s">
        <v>578</v>
      </c>
      <c r="C266" s="8">
        <f ca="1" t="shared" si="62"/>
        <v>46087</v>
      </c>
      <c r="D266" t="s">
        <v>574</v>
      </c>
      <c r="E266" s="10" t="s">
        <v>23</v>
      </c>
      <c r="F266" s="10" t="s">
        <v>43</v>
      </c>
      <c r="G266" s="10">
        <v>700</v>
      </c>
      <c r="H266">
        <v>63</v>
      </c>
      <c r="I266" s="10">
        <v>3000</v>
      </c>
      <c r="J266" s="11">
        <f ca="1" t="shared" si="63"/>
        <v>18</v>
      </c>
      <c r="K266" s="10">
        <f ca="1" t="shared" si="60"/>
        <v>12600</v>
      </c>
      <c r="L266" s="10">
        <f ca="1" t="shared" si="61"/>
        <v>54000</v>
      </c>
      <c r="M266" t="s">
        <v>20</v>
      </c>
    </row>
    <row r="267" spans="1:13">
      <c r="A267" t="s">
        <v>579</v>
      </c>
      <c r="B267" t="s">
        <v>580</v>
      </c>
      <c r="C267" s="8">
        <f ca="1" t="shared" si="62"/>
        <v>46076</v>
      </c>
      <c r="D267" t="s">
        <v>574</v>
      </c>
      <c r="E267" s="10" t="s">
        <v>18</v>
      </c>
      <c r="F267" s="10" t="s">
        <v>19</v>
      </c>
      <c r="G267" s="10">
        <v>700</v>
      </c>
      <c r="H267">
        <v>37</v>
      </c>
      <c r="I267" s="10">
        <v>3000</v>
      </c>
      <c r="J267" s="11">
        <f ca="1" t="shared" si="63"/>
        <v>20</v>
      </c>
      <c r="K267" s="10">
        <f ca="1" t="shared" si="60"/>
        <v>14000</v>
      </c>
      <c r="L267" s="10">
        <f ca="1" t="shared" si="61"/>
        <v>60000</v>
      </c>
      <c r="M267" t="s">
        <v>24</v>
      </c>
    </row>
    <row r="268" spans="1:13">
      <c r="A268" t="s">
        <v>581</v>
      </c>
      <c r="B268" t="s">
        <v>582</v>
      </c>
      <c r="C268" s="8">
        <f ca="1" t="shared" si="62"/>
        <v>46056</v>
      </c>
      <c r="D268" t="s">
        <v>583</v>
      </c>
      <c r="E268" s="10" t="s">
        <v>23</v>
      </c>
      <c r="F268" s="10" t="s">
        <v>33</v>
      </c>
      <c r="G268" s="10">
        <v>30000</v>
      </c>
      <c r="H268">
        <v>63</v>
      </c>
      <c r="I268" s="10">
        <v>60000</v>
      </c>
      <c r="J268" s="11">
        <f ca="1" t="shared" si="63"/>
        <v>16</v>
      </c>
      <c r="K268" s="10">
        <f ca="1" t="shared" si="60"/>
        <v>480000</v>
      </c>
      <c r="L268" s="10">
        <f ca="1" t="shared" si="61"/>
        <v>960000</v>
      </c>
      <c r="M268" t="s">
        <v>20</v>
      </c>
    </row>
    <row r="269" spans="1:13">
      <c r="A269" t="s">
        <v>584</v>
      </c>
      <c r="B269" t="s">
        <v>585</v>
      </c>
      <c r="C269" s="8">
        <f ca="1" t="shared" si="62"/>
        <v>46110</v>
      </c>
      <c r="D269" t="s">
        <v>583</v>
      </c>
      <c r="E269" s="10" t="s">
        <v>23</v>
      </c>
      <c r="F269" s="10" t="s">
        <v>52</v>
      </c>
      <c r="G269" s="10">
        <v>22000</v>
      </c>
      <c r="H269">
        <v>64</v>
      </c>
      <c r="I269" s="10">
        <v>30000</v>
      </c>
      <c r="J269" s="11">
        <f ca="1" t="shared" si="63"/>
        <v>16</v>
      </c>
      <c r="K269" s="10">
        <f ca="1" t="shared" si="60"/>
        <v>352000</v>
      </c>
      <c r="L269" s="10">
        <f ca="1" t="shared" si="61"/>
        <v>480000</v>
      </c>
      <c r="M269" t="s">
        <v>30</v>
      </c>
    </row>
    <row r="270" spans="1:13">
      <c r="A270" t="s">
        <v>586</v>
      </c>
      <c r="B270" t="s">
        <v>587</v>
      </c>
      <c r="C270" s="8">
        <f ca="1" t="shared" si="62"/>
        <v>46043</v>
      </c>
      <c r="D270" t="s">
        <v>583</v>
      </c>
      <c r="E270" s="10" t="s">
        <v>18</v>
      </c>
      <c r="F270" s="10" t="s">
        <v>52</v>
      </c>
      <c r="G270" s="10">
        <v>18000</v>
      </c>
      <c r="H270">
        <v>33</v>
      </c>
      <c r="I270" s="10">
        <v>25000</v>
      </c>
      <c r="J270" s="11">
        <f ca="1" t="shared" si="63"/>
        <v>17</v>
      </c>
      <c r="K270" s="10">
        <f ca="1" t="shared" si="60"/>
        <v>306000</v>
      </c>
      <c r="L270" s="10">
        <f ca="1" t="shared" si="61"/>
        <v>425000</v>
      </c>
      <c r="M270" t="s">
        <v>30</v>
      </c>
    </row>
    <row r="271" spans="1:13">
      <c r="A271" t="s">
        <v>588</v>
      </c>
      <c r="B271" t="s">
        <v>589</v>
      </c>
      <c r="C271" s="8">
        <f ca="1" t="shared" si="62"/>
        <v>46141</v>
      </c>
      <c r="D271" t="s">
        <v>583</v>
      </c>
      <c r="E271" s="10" t="s">
        <v>23</v>
      </c>
      <c r="F271" s="10" t="s">
        <v>19</v>
      </c>
      <c r="G271" s="10">
        <v>15000</v>
      </c>
      <c r="H271">
        <v>67</v>
      </c>
      <c r="I271" s="10">
        <v>20000</v>
      </c>
      <c r="J271" s="11">
        <f ca="1" t="shared" si="63"/>
        <v>16</v>
      </c>
      <c r="K271" s="10">
        <f ca="1" t="shared" si="60"/>
        <v>240000</v>
      </c>
      <c r="L271" s="10">
        <f ca="1" t="shared" si="61"/>
        <v>320000</v>
      </c>
      <c r="M271" t="s">
        <v>20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1"/>
  <sheetViews>
    <sheetView zoomScale="60" zoomScaleNormal="60" workbookViewId="0">
      <selection activeCell="Q12" sqref="Q12"/>
    </sheetView>
  </sheetViews>
  <sheetFormatPr defaultColWidth="9.14285714285714" defaultRowHeight="15"/>
  <cols>
    <col min="1" max="1" width="12.8571428571429" customWidth="1"/>
    <col min="2" max="2" width="13" customWidth="1"/>
    <col min="4" max="5" width="16.5714285714286" customWidth="1"/>
    <col min="6" max="6" width="34.1428571428571" customWidth="1"/>
    <col min="7" max="7" width="11.7142857142857" customWidth="1"/>
    <col min="8" max="8" width="11.7142857142857" style="5" customWidth="1"/>
    <col min="9" max="9" width="16.2857142857143" customWidth="1"/>
    <col min="10" max="10" width="14.4285714285714" style="6" customWidth="1"/>
    <col min="11" max="12" width="11.7142857142857" style="6" customWidth="1"/>
    <col min="13" max="14" width="19.2857142857143" customWidth="1"/>
    <col min="16" max="16" width="21.8571428571429"/>
    <col min="17" max="17" width="24"/>
  </cols>
  <sheetData>
    <row r="1" spans="1:14">
      <c r="A1" t="s">
        <v>590</v>
      </c>
      <c r="B1" t="s">
        <v>2</v>
      </c>
      <c r="C1" t="s">
        <v>5</v>
      </c>
      <c r="D1" t="s">
        <v>4</v>
      </c>
      <c r="E1" t="s">
        <v>591</v>
      </c>
      <c r="F1" t="s">
        <v>1</v>
      </c>
      <c r="G1" t="s">
        <v>3</v>
      </c>
      <c r="H1" s="5" t="s">
        <v>6</v>
      </c>
      <c r="I1" t="s">
        <v>9</v>
      </c>
      <c r="J1" s="6" t="s">
        <v>8</v>
      </c>
      <c r="K1" s="6" t="s">
        <v>592</v>
      </c>
      <c r="L1" s="6" t="s">
        <v>11</v>
      </c>
      <c r="M1" t="s">
        <v>593</v>
      </c>
      <c r="N1" t="s">
        <v>12</v>
      </c>
    </row>
    <row r="2" spans="1:14">
      <c r="A2" s="7">
        <v>6663</v>
      </c>
      <c r="B2" s="8">
        <v>46210</v>
      </c>
      <c r="C2" t="s">
        <v>33</v>
      </c>
      <c r="D2" t="s">
        <v>23</v>
      </c>
      <c r="E2" t="s">
        <v>109</v>
      </c>
      <c r="F2" t="str">
        <f>_xlfn.XLOOKUP(E2,'KING TON SALES__ RAW DATA'!$A$2:$A$271,'KING TON SALES__ RAW DATA'!$B$2:$B$271)</f>
        <v>OPTICAL CABLE (1.5m)</v>
      </c>
      <c r="G2" t="str">
        <f>_xlfn.XLOOKUP(E2,'KING TON SALES__ RAW DATA'!$A$2:$A$271,'KING TON SALES__ RAW DATA'!$D$2:$D$271)</f>
        <v>WIRE</v>
      </c>
      <c r="H2" s="6">
        <f>_xlfn.XLOOKUP(E2,'KING TON SALES__ RAW DATA'!$A$2:$A$271,'KING TON SALES__ RAW DATA'!$G$2:$G$271)</f>
        <v>1500</v>
      </c>
      <c r="I2">
        <v>17</v>
      </c>
      <c r="J2" s="6">
        <f>_xlfn.XLOOKUP(E2,'KING TON SALES__ RAW DATA'!$A$2:$A$271,'KING TON SALES__ RAW DATA'!$I$2:$I$271)</f>
        <v>3500</v>
      </c>
      <c r="K2" s="6">
        <f>H2*I2</f>
        <v>25500</v>
      </c>
      <c r="L2" s="6">
        <f>J2*I2</f>
        <v>59500</v>
      </c>
      <c r="M2" s="6">
        <f>L2-K2</f>
        <v>34000</v>
      </c>
      <c r="N2" t="str">
        <f>_xlfn.XLOOKUP(E2,'KING TON SALES__ RAW DATA'!$A$2:$A$271,'KING TON SALES__ RAW DATA'!$M$2:$M$271)</f>
        <v>CASH</v>
      </c>
    </row>
    <row r="3" spans="1:14">
      <c r="A3" s="7">
        <v>6664</v>
      </c>
      <c r="B3" s="8">
        <v>46237</v>
      </c>
      <c r="C3" t="s">
        <v>19</v>
      </c>
      <c r="D3" t="s">
        <v>18</v>
      </c>
      <c r="E3" t="s">
        <v>15</v>
      </c>
      <c r="F3" t="str">
        <f>_xlfn.XLOOKUP(E3,'KING TON SALES__ RAW DATA'!$A$2:$A$271,'KING TON SALES__ RAW DATA'!$B$2:$B$271)</f>
        <v>3 TO 3 AV (1.5m) WIRE</v>
      </c>
      <c r="G3" t="str">
        <f>_xlfn.XLOOKUP(E3,'KING TON SALES__ RAW DATA'!$A$2:$A$271,'KING TON SALES__ RAW DATA'!$D$2:$D$271)</f>
        <v>WIRE</v>
      </c>
      <c r="H3" s="6">
        <f>_xlfn.XLOOKUP(E3,'KING TON SALES__ RAW DATA'!$A$2:$A$271,'KING TON SALES__ RAW DATA'!$G$2:$G$271)</f>
        <v>600</v>
      </c>
      <c r="I3">
        <v>17</v>
      </c>
      <c r="J3" s="6">
        <f>_xlfn.XLOOKUP(E3,'KING TON SALES__ RAW DATA'!$A$2:$A$271,'KING TON SALES__ RAW DATA'!$I$2:$I$271)</f>
        <v>1500</v>
      </c>
      <c r="K3" s="6">
        <f t="shared" ref="K3:K66" si="0">H3*I3</f>
        <v>10200</v>
      </c>
      <c r="L3" s="6">
        <f t="shared" ref="L3:L66" si="1">J3*I3</f>
        <v>25500</v>
      </c>
      <c r="M3" s="6">
        <f t="shared" ref="M3:M66" si="2">L3-K3</f>
        <v>15300</v>
      </c>
      <c r="N3" t="str">
        <f>_xlfn.XLOOKUP(E3,'KING TON SALES__ RAW DATA'!$A$2:$A$271,'KING TON SALES__ RAW DATA'!$M$2:$M$271)</f>
        <v>POS</v>
      </c>
    </row>
    <row r="4" spans="1:14">
      <c r="A4" s="7">
        <v>6665</v>
      </c>
      <c r="B4" s="8">
        <v>46255</v>
      </c>
      <c r="C4" t="s">
        <v>19</v>
      </c>
      <c r="D4" t="s">
        <v>23</v>
      </c>
      <c r="E4" t="s">
        <v>120</v>
      </c>
      <c r="F4" t="str">
        <f>_xlfn.XLOOKUP(E4,'KING TON SALES__ RAW DATA'!$A$2:$A$271,'KING TON SALES__ RAW DATA'!$B$2:$B$271)</f>
        <v>13 AMPS DOUBLE SOCKET BENJOR</v>
      </c>
      <c r="G4" t="str">
        <f>_xlfn.XLOOKUP(E4,'KING TON SALES__ RAW DATA'!$A$2:$A$271,'KING TON SALES__ RAW DATA'!$D$2:$D$271)</f>
        <v>ELECTRICAL</v>
      </c>
      <c r="H4" s="6">
        <f>_xlfn.XLOOKUP(E4,'KING TON SALES__ RAW DATA'!$A$2:$A$271,'KING TON SALES__ RAW DATA'!$G$2:$G$271)</f>
        <v>2500</v>
      </c>
      <c r="I4">
        <v>17</v>
      </c>
      <c r="J4" s="6">
        <f>_xlfn.XLOOKUP(E4,'KING TON SALES__ RAW DATA'!$A$2:$A$271,'KING TON SALES__ RAW DATA'!$I$2:$I$271)</f>
        <v>5000</v>
      </c>
      <c r="K4" s="6">
        <f t="shared" si="0"/>
        <v>42500</v>
      </c>
      <c r="L4" s="6">
        <f t="shared" si="1"/>
        <v>85000</v>
      </c>
      <c r="M4" s="6">
        <f t="shared" si="2"/>
        <v>42500</v>
      </c>
      <c r="N4" t="str">
        <f>_xlfn.XLOOKUP(E4,'KING TON SALES__ RAW DATA'!$A$2:$A$271,'KING TON SALES__ RAW DATA'!$M$2:$M$271)</f>
        <v>POS</v>
      </c>
    </row>
    <row r="5" spans="1:14">
      <c r="A5" s="7">
        <v>6666</v>
      </c>
      <c r="B5" s="8">
        <v>46209</v>
      </c>
      <c r="C5" t="s">
        <v>19</v>
      </c>
      <c r="D5" t="s">
        <v>23</v>
      </c>
      <c r="E5" t="s">
        <v>151</v>
      </c>
      <c r="F5" t="str">
        <f>_xlfn.XLOOKUP(E5,'KING TON SALES__ RAW DATA'!$A$2:$A$271,'KING TON SALES__ RAW DATA'!$B$2:$B$271)</f>
        <v>777 9v BATTERY</v>
      </c>
      <c r="G5" t="str">
        <f>_xlfn.XLOOKUP(E5,'KING TON SALES__ RAW DATA'!$A$2:$A$271,'KING TON SALES__ RAW DATA'!$D$2:$D$271)</f>
        <v>BATTERY</v>
      </c>
      <c r="H5" s="6">
        <f>_xlfn.XLOOKUP(E5,'KING TON SALES__ RAW DATA'!$A$2:$A$271,'KING TON SALES__ RAW DATA'!$G$2:$G$271)</f>
        <v>250</v>
      </c>
      <c r="I5">
        <v>20</v>
      </c>
      <c r="J5" s="6">
        <f>_xlfn.XLOOKUP(E5,'KING TON SALES__ RAW DATA'!$A$2:$A$271,'KING TON SALES__ RAW DATA'!$I$2:$I$271)</f>
        <v>500</v>
      </c>
      <c r="K5" s="6">
        <f t="shared" si="0"/>
        <v>5000</v>
      </c>
      <c r="L5" s="6">
        <f t="shared" si="1"/>
        <v>10000</v>
      </c>
      <c r="M5" s="6">
        <f t="shared" si="2"/>
        <v>5000</v>
      </c>
      <c r="N5" t="str">
        <f>_xlfn.XLOOKUP(E5,'KING TON SALES__ RAW DATA'!$A$2:$A$271,'KING TON SALES__ RAW DATA'!$M$2:$M$271)</f>
        <v>TRANSFER</v>
      </c>
    </row>
    <row r="6" spans="1:14">
      <c r="A6" s="7">
        <v>6667</v>
      </c>
      <c r="B6" s="8">
        <v>46226</v>
      </c>
      <c r="C6" t="s">
        <v>43</v>
      </c>
      <c r="D6" t="s">
        <v>18</v>
      </c>
      <c r="E6" t="s">
        <v>103</v>
      </c>
      <c r="F6" t="str">
        <f>_xlfn.XLOOKUP(E6,'KING TON SALES__ RAW DATA'!$A$2:$A$271,'KING TON SALES__ RAW DATA'!$B$2:$B$271)</f>
        <v>USB TO FEMALE USB (1.5m) CORD</v>
      </c>
      <c r="G6" t="str">
        <f>_xlfn.XLOOKUP(E6,'KING TON SALES__ RAW DATA'!$A$2:$A$271,'KING TON SALES__ RAW DATA'!$D$2:$D$271)</f>
        <v>WIRE</v>
      </c>
      <c r="H6" s="6">
        <f>_xlfn.XLOOKUP(E6,'KING TON SALES__ RAW DATA'!$A$2:$A$271,'KING TON SALES__ RAW DATA'!$G$2:$G$271)</f>
        <v>2500</v>
      </c>
      <c r="I6">
        <v>21</v>
      </c>
      <c r="J6" s="6">
        <f>_xlfn.XLOOKUP(E6,'KING TON SALES__ RAW DATA'!$A$2:$A$271,'KING TON SALES__ RAW DATA'!$I$2:$I$271)</f>
        <v>5000</v>
      </c>
      <c r="K6" s="6">
        <f t="shared" si="0"/>
        <v>52500</v>
      </c>
      <c r="L6" s="6">
        <f t="shared" si="1"/>
        <v>105000</v>
      </c>
      <c r="M6" s="6">
        <f t="shared" si="2"/>
        <v>52500</v>
      </c>
      <c r="N6" t="str">
        <f>_xlfn.XLOOKUP(E6,'KING TON SALES__ RAW DATA'!$A$2:$A$271,'KING TON SALES__ RAW DATA'!$M$2:$M$271)</f>
        <v>TRANSFER</v>
      </c>
    </row>
    <row r="7" spans="1:14">
      <c r="A7" s="7">
        <v>6668</v>
      </c>
      <c r="B7" s="8">
        <v>46236</v>
      </c>
      <c r="C7" t="s">
        <v>43</v>
      </c>
      <c r="D7" t="s">
        <v>18</v>
      </c>
      <c r="E7" t="s">
        <v>134</v>
      </c>
      <c r="F7" t="str">
        <f>_xlfn.XLOOKUP(E7,'KING TON SALES__ RAW DATA'!$A$2:$A$271,'KING TON SALES__ RAW DATA'!$B$2:$B$271)</f>
        <v>BENJOR MULTI WITH SWITCH</v>
      </c>
      <c r="G7" t="str">
        <f>_xlfn.XLOOKUP(E7,'KING TON SALES__ RAW DATA'!$A$2:$A$271,'KING TON SALES__ RAW DATA'!$D$2:$D$271)</f>
        <v>ELECTRICAL</v>
      </c>
      <c r="H7" s="6">
        <f>_xlfn.XLOOKUP(E7,'KING TON SALES__ RAW DATA'!$A$2:$A$271,'KING TON SALES__ RAW DATA'!$G$2:$G$271)</f>
        <v>1000</v>
      </c>
      <c r="I7">
        <v>21</v>
      </c>
      <c r="J7" s="6">
        <f>_xlfn.XLOOKUP(E7,'KING TON SALES__ RAW DATA'!$A$2:$A$271,'KING TON SALES__ RAW DATA'!$I$2:$I$271)</f>
        <v>3000</v>
      </c>
      <c r="K7" s="6">
        <f t="shared" si="0"/>
        <v>21000</v>
      </c>
      <c r="L7" s="6">
        <f t="shared" si="1"/>
        <v>63000</v>
      </c>
      <c r="M7" s="6">
        <f t="shared" si="2"/>
        <v>42000</v>
      </c>
      <c r="N7" t="str">
        <f>_xlfn.XLOOKUP(E7,'KING TON SALES__ RAW DATA'!$A$2:$A$271,'KING TON SALES__ RAW DATA'!$M$2:$M$271)</f>
        <v>POS</v>
      </c>
    </row>
    <row r="8" spans="1:14">
      <c r="A8" s="7">
        <v>6669</v>
      </c>
      <c r="B8" s="8">
        <v>46230</v>
      </c>
      <c r="C8" t="s">
        <v>19</v>
      </c>
      <c r="D8" t="s">
        <v>23</v>
      </c>
      <c r="E8" t="s">
        <v>85</v>
      </c>
      <c r="F8" t="str">
        <f>_xlfn.XLOOKUP(E8,'KING TON SALES__ RAW DATA'!$A$2:$A$271,'KING TON SALES__ RAW DATA'!$B$2:$B$271)</f>
        <v>DC TO DC MALE (3m) WIRE</v>
      </c>
      <c r="G8" t="str">
        <f>_xlfn.XLOOKUP(E8,'KING TON SALES__ RAW DATA'!$A$2:$A$271,'KING TON SALES__ RAW DATA'!$D$2:$D$271)</f>
        <v>WIRE</v>
      </c>
      <c r="H8" s="6">
        <f>_xlfn.XLOOKUP(E8,'KING TON SALES__ RAW DATA'!$A$2:$A$271,'KING TON SALES__ RAW DATA'!$G$2:$G$271)</f>
        <v>500</v>
      </c>
      <c r="I8">
        <v>20</v>
      </c>
      <c r="J8" s="6">
        <f>_xlfn.XLOOKUP(E8,'KING TON SALES__ RAW DATA'!$A$2:$A$271,'KING TON SALES__ RAW DATA'!$I$2:$I$271)</f>
        <v>1000</v>
      </c>
      <c r="K8" s="6">
        <f t="shared" si="0"/>
        <v>10000</v>
      </c>
      <c r="L8" s="6">
        <f t="shared" si="1"/>
        <v>20000</v>
      </c>
      <c r="M8" s="6">
        <f t="shared" si="2"/>
        <v>10000</v>
      </c>
      <c r="N8" t="str">
        <f>_xlfn.XLOOKUP(E8,'KING TON SALES__ RAW DATA'!$A$2:$A$271,'KING TON SALES__ RAW DATA'!$M$2:$M$271)</f>
        <v>POS</v>
      </c>
    </row>
    <row r="9" spans="1:14">
      <c r="A9" s="7">
        <v>6670</v>
      </c>
      <c r="B9" s="8">
        <v>46240</v>
      </c>
      <c r="C9" t="s">
        <v>19</v>
      </c>
      <c r="D9" t="s">
        <v>23</v>
      </c>
      <c r="E9" t="s">
        <v>154</v>
      </c>
      <c r="F9" t="str">
        <f>_xlfn.XLOOKUP(E9,'KING TON SALES__ RAW DATA'!$A$2:$A$271,'KING TON SALES__ RAW DATA'!$B$2:$B$271)</f>
        <v>HI/WATT 9v BATTERY</v>
      </c>
      <c r="G9" t="str">
        <f>_xlfn.XLOOKUP(E9,'KING TON SALES__ RAW DATA'!$A$2:$A$271,'KING TON SALES__ RAW DATA'!$D$2:$D$271)</f>
        <v>BATTERY</v>
      </c>
      <c r="H9" s="6">
        <f>_xlfn.XLOOKUP(E9,'KING TON SALES__ RAW DATA'!$A$2:$A$271,'KING TON SALES__ RAW DATA'!$G$2:$G$271)</f>
        <v>250</v>
      </c>
      <c r="I9">
        <v>21</v>
      </c>
      <c r="J9" s="6">
        <f>_xlfn.XLOOKUP(E9,'KING TON SALES__ RAW DATA'!$A$2:$A$271,'KING TON SALES__ RAW DATA'!$I$2:$I$271)</f>
        <v>500</v>
      </c>
      <c r="K9" s="6">
        <f t="shared" si="0"/>
        <v>5250</v>
      </c>
      <c r="L9" s="6">
        <f t="shared" si="1"/>
        <v>10500</v>
      </c>
      <c r="M9" s="6">
        <f t="shared" si="2"/>
        <v>5250</v>
      </c>
      <c r="N9" t="str">
        <f>_xlfn.XLOOKUP(E9,'KING TON SALES__ RAW DATA'!$A$2:$A$271,'KING TON SALES__ RAW DATA'!$M$2:$M$271)</f>
        <v>POS</v>
      </c>
    </row>
    <row r="10" spans="1:14">
      <c r="A10" s="7">
        <v>6671</v>
      </c>
      <c r="B10" s="8">
        <v>46260</v>
      </c>
      <c r="C10" t="s">
        <v>43</v>
      </c>
      <c r="D10" t="s">
        <v>18</v>
      </c>
      <c r="E10" t="s">
        <v>134</v>
      </c>
      <c r="F10" t="str">
        <f>_xlfn.XLOOKUP(E10,'KING TON SALES__ RAW DATA'!$A$2:$A$271,'KING TON SALES__ RAW DATA'!$B$2:$B$271)</f>
        <v>BENJOR MULTI WITH SWITCH</v>
      </c>
      <c r="G10" t="str">
        <f>_xlfn.XLOOKUP(E10,'KING TON SALES__ RAW DATA'!$A$2:$A$271,'KING TON SALES__ RAW DATA'!$D$2:$D$271)</f>
        <v>ELECTRICAL</v>
      </c>
      <c r="H10" s="6">
        <f>_xlfn.XLOOKUP(E10,'KING TON SALES__ RAW DATA'!$A$2:$A$271,'KING TON SALES__ RAW DATA'!$G$2:$G$271)</f>
        <v>1000</v>
      </c>
      <c r="I10">
        <v>21</v>
      </c>
      <c r="J10" s="6">
        <f>_xlfn.XLOOKUP(E10,'KING TON SALES__ RAW DATA'!$A$2:$A$271,'KING TON SALES__ RAW DATA'!$I$2:$I$271)</f>
        <v>3000</v>
      </c>
      <c r="K10" s="6">
        <f t="shared" si="0"/>
        <v>21000</v>
      </c>
      <c r="L10" s="6">
        <f t="shared" si="1"/>
        <v>63000</v>
      </c>
      <c r="M10" s="6">
        <f t="shared" si="2"/>
        <v>42000</v>
      </c>
      <c r="N10" t="str">
        <f>_xlfn.XLOOKUP(E10,'KING TON SALES__ RAW DATA'!$A$2:$A$271,'KING TON SALES__ RAW DATA'!$M$2:$M$271)</f>
        <v>POS</v>
      </c>
    </row>
    <row r="11" spans="1:14">
      <c r="A11" s="7">
        <v>6672</v>
      </c>
      <c r="B11" s="8">
        <v>46235</v>
      </c>
      <c r="C11" t="s">
        <v>19</v>
      </c>
      <c r="D11" t="s">
        <v>23</v>
      </c>
      <c r="E11" t="s">
        <v>69</v>
      </c>
      <c r="F11" t="str">
        <f>_xlfn.XLOOKUP(E11,'KING TON SALES__ RAW DATA'!$A$2:$A$271,'KING TON SALES__ RAW DATA'!$B$2:$B$271)</f>
        <v>4K HDMI (50m) WIRE</v>
      </c>
      <c r="G11" t="str">
        <f>_xlfn.XLOOKUP(E11,'KING TON SALES__ RAW DATA'!$A$2:$A$271,'KING TON SALES__ RAW DATA'!$D$2:$D$271)</f>
        <v>WIRE</v>
      </c>
      <c r="H11" s="6">
        <f>_xlfn.XLOOKUP(E11,'KING TON SALES__ RAW DATA'!$A$2:$A$271,'KING TON SALES__ RAW DATA'!$G$2:$G$271)</f>
        <v>30000</v>
      </c>
      <c r="I11">
        <v>18</v>
      </c>
      <c r="J11" s="6">
        <f>_xlfn.XLOOKUP(E11,'KING TON SALES__ RAW DATA'!$A$2:$A$271,'KING TON SALES__ RAW DATA'!$I$2:$I$271)</f>
        <v>45000</v>
      </c>
      <c r="K11" s="6">
        <f t="shared" si="0"/>
        <v>540000</v>
      </c>
      <c r="L11" s="6">
        <f t="shared" si="1"/>
        <v>810000</v>
      </c>
      <c r="M11" s="6">
        <f t="shared" si="2"/>
        <v>270000</v>
      </c>
      <c r="N11" t="str">
        <f>_xlfn.XLOOKUP(E11,'KING TON SALES__ RAW DATA'!$A$2:$A$271,'KING TON SALES__ RAW DATA'!$M$2:$M$271)</f>
        <v>TRANSFER</v>
      </c>
    </row>
    <row r="12" spans="1:14">
      <c r="A12" s="7">
        <v>6673</v>
      </c>
      <c r="B12" s="8">
        <v>46242</v>
      </c>
      <c r="C12" t="s">
        <v>19</v>
      </c>
      <c r="D12" t="s">
        <v>23</v>
      </c>
      <c r="E12" t="s">
        <v>59</v>
      </c>
      <c r="F12" t="str">
        <f>_xlfn.XLOOKUP(E12,'KING TON SALES__ RAW DATA'!$A$2:$A$271,'KING TON SALES__ RAW DATA'!$B$2:$B$271)</f>
        <v>HDMI (30m) WIRE</v>
      </c>
      <c r="G12" t="str">
        <f>_xlfn.XLOOKUP(E12,'KING TON SALES__ RAW DATA'!$A$2:$A$271,'KING TON SALES__ RAW DATA'!$D$2:$D$271)</f>
        <v>WIRE</v>
      </c>
      <c r="H12" s="6">
        <f>_xlfn.XLOOKUP(E12,'KING TON SALES__ RAW DATA'!$A$2:$A$271,'KING TON SALES__ RAW DATA'!$G$2:$G$271)</f>
        <v>10000</v>
      </c>
      <c r="I12">
        <v>24</v>
      </c>
      <c r="J12" s="6">
        <f>_xlfn.XLOOKUP(E12,'KING TON SALES__ RAW DATA'!$A$2:$A$271,'KING TON SALES__ RAW DATA'!$I$2:$I$271)</f>
        <v>15000</v>
      </c>
      <c r="K12" s="6">
        <f t="shared" si="0"/>
        <v>240000</v>
      </c>
      <c r="L12" s="6">
        <f t="shared" si="1"/>
        <v>360000</v>
      </c>
      <c r="M12" s="6">
        <f t="shared" si="2"/>
        <v>120000</v>
      </c>
      <c r="N12" t="str">
        <f>_xlfn.XLOOKUP(E12,'KING TON SALES__ RAW DATA'!$A$2:$A$271,'KING TON SALES__ RAW DATA'!$M$2:$M$271)</f>
        <v>TRANSFER</v>
      </c>
    </row>
    <row r="13" spans="1:14">
      <c r="A13" s="7">
        <v>6674</v>
      </c>
      <c r="B13" s="8">
        <v>46245</v>
      </c>
      <c r="C13" t="s">
        <v>33</v>
      </c>
      <c r="D13" t="s">
        <v>23</v>
      </c>
      <c r="E13" t="s">
        <v>140</v>
      </c>
      <c r="F13" t="str">
        <f>_xlfn.XLOOKUP(E13,'KING TON SALES__ RAW DATA'!$A$2:$A$271,'KING TON SALES__ RAW DATA'!$B$2:$B$271)</f>
        <v>BENJOR EXTENTION 3 MOUTH</v>
      </c>
      <c r="G13" t="str">
        <f>_xlfn.XLOOKUP(E13,'KING TON SALES__ RAW DATA'!$A$2:$A$271,'KING TON SALES__ RAW DATA'!$D$2:$D$271)</f>
        <v>ELECTRICAL</v>
      </c>
      <c r="H13" s="6">
        <f>_xlfn.XLOOKUP(E13,'KING TON SALES__ RAW DATA'!$A$2:$A$271,'KING TON SALES__ RAW DATA'!$G$2:$G$271)</f>
        <v>2000</v>
      </c>
      <c r="I13">
        <v>25</v>
      </c>
      <c r="J13" s="6">
        <f>_xlfn.XLOOKUP(E13,'KING TON SALES__ RAW DATA'!$A$2:$A$271,'KING TON SALES__ RAW DATA'!$I$2:$I$271)</f>
        <v>7000</v>
      </c>
      <c r="K13" s="6">
        <f t="shared" si="0"/>
        <v>50000</v>
      </c>
      <c r="L13" s="6">
        <f t="shared" si="1"/>
        <v>175000</v>
      </c>
      <c r="M13" s="6">
        <f t="shared" si="2"/>
        <v>125000</v>
      </c>
      <c r="N13" t="str">
        <f>_xlfn.XLOOKUP(E13,'KING TON SALES__ RAW DATA'!$A$2:$A$271,'KING TON SALES__ RAW DATA'!$M$2:$M$271)</f>
        <v>CASH</v>
      </c>
    </row>
    <row r="14" spans="1:14">
      <c r="A14" s="7">
        <v>6675</v>
      </c>
      <c r="B14" s="8">
        <v>46221</v>
      </c>
      <c r="C14" t="s">
        <v>33</v>
      </c>
      <c r="D14" t="s">
        <v>23</v>
      </c>
      <c r="E14" t="s">
        <v>140</v>
      </c>
      <c r="F14" t="str">
        <f>_xlfn.XLOOKUP(E14,'KING TON SALES__ RAW DATA'!$A$2:$A$271,'KING TON SALES__ RAW DATA'!$B$2:$B$271)</f>
        <v>BENJOR EXTENTION 3 MOUTH</v>
      </c>
      <c r="G14" t="str">
        <f>_xlfn.XLOOKUP(E14,'KING TON SALES__ RAW DATA'!$A$2:$A$271,'KING TON SALES__ RAW DATA'!$D$2:$D$271)</f>
        <v>ELECTRICAL</v>
      </c>
      <c r="H14" s="6">
        <f>_xlfn.XLOOKUP(E14,'KING TON SALES__ RAW DATA'!$A$2:$A$271,'KING TON SALES__ RAW DATA'!$G$2:$G$271)</f>
        <v>2000</v>
      </c>
      <c r="I14">
        <v>22</v>
      </c>
      <c r="J14" s="6">
        <f>_xlfn.XLOOKUP(E14,'KING TON SALES__ RAW DATA'!$A$2:$A$271,'KING TON SALES__ RAW DATA'!$I$2:$I$271)</f>
        <v>7000</v>
      </c>
      <c r="K14" s="6">
        <f t="shared" si="0"/>
        <v>44000</v>
      </c>
      <c r="L14" s="6">
        <f t="shared" si="1"/>
        <v>154000</v>
      </c>
      <c r="M14" s="6">
        <f t="shared" si="2"/>
        <v>110000</v>
      </c>
      <c r="N14" t="str">
        <f>_xlfn.XLOOKUP(E14,'KING TON SALES__ RAW DATA'!$A$2:$A$271,'KING TON SALES__ RAW DATA'!$M$2:$M$271)</f>
        <v>CASH</v>
      </c>
    </row>
    <row r="15" spans="1:14">
      <c r="A15" s="7">
        <v>6676</v>
      </c>
      <c r="B15" s="8">
        <v>46246</v>
      </c>
      <c r="C15" t="s">
        <v>19</v>
      </c>
      <c r="D15" t="s">
        <v>18</v>
      </c>
      <c r="E15" t="s">
        <v>57</v>
      </c>
      <c r="F15" t="str">
        <f>_xlfn.XLOOKUP(E15,'KING TON SALES__ RAW DATA'!$A$2:$A$271,'KING TON SALES__ RAW DATA'!$B$2:$B$271)</f>
        <v>HDMI (20m) WIRE</v>
      </c>
      <c r="G15" t="str">
        <f>_xlfn.XLOOKUP(E15,'KING TON SALES__ RAW DATA'!$A$2:$A$271,'KING TON SALES__ RAW DATA'!$D$2:$D$271)</f>
        <v>WIRE</v>
      </c>
      <c r="H15" s="6">
        <f>_xlfn.XLOOKUP(E15,'KING TON SALES__ RAW DATA'!$A$2:$A$271,'KING TON SALES__ RAW DATA'!$G$2:$G$271)</f>
        <v>4000</v>
      </c>
      <c r="I15">
        <v>23</v>
      </c>
      <c r="J15" s="6">
        <f>_xlfn.XLOOKUP(E15,'KING TON SALES__ RAW DATA'!$A$2:$A$271,'KING TON SALES__ RAW DATA'!$I$2:$I$271)</f>
        <v>12000</v>
      </c>
      <c r="K15" s="6">
        <f t="shared" si="0"/>
        <v>92000</v>
      </c>
      <c r="L15" s="6">
        <f t="shared" si="1"/>
        <v>276000</v>
      </c>
      <c r="M15" s="6">
        <f t="shared" si="2"/>
        <v>184000</v>
      </c>
      <c r="N15" t="str">
        <f>_xlfn.XLOOKUP(E15,'KING TON SALES__ RAW DATA'!$A$2:$A$271,'KING TON SALES__ RAW DATA'!$M$2:$M$271)</f>
        <v>TRANSFER</v>
      </c>
    </row>
    <row r="16" spans="1:14">
      <c r="A16" s="7">
        <v>6677</v>
      </c>
      <c r="B16" s="8">
        <v>46233</v>
      </c>
      <c r="C16" t="s">
        <v>19</v>
      </c>
      <c r="D16" t="s">
        <v>23</v>
      </c>
      <c r="E16" t="s">
        <v>55</v>
      </c>
      <c r="F16" t="str">
        <f>_xlfn.XLOOKUP(E16,'KING TON SALES__ RAW DATA'!$A$2:$A$271,'KING TON SALES__ RAW DATA'!$B$2:$B$271)</f>
        <v>HDMI (15m) WIRE</v>
      </c>
      <c r="G16" t="str">
        <f>_xlfn.XLOOKUP(E16,'KING TON SALES__ RAW DATA'!$A$2:$A$271,'KING TON SALES__ RAW DATA'!$D$2:$D$271)</f>
        <v>WIRE</v>
      </c>
      <c r="H16" s="6">
        <f>_xlfn.XLOOKUP(E16,'KING TON SALES__ RAW DATA'!$A$2:$A$271,'KING TON SALES__ RAW DATA'!$G$2:$G$271)</f>
        <v>3000</v>
      </c>
      <c r="I16">
        <v>23</v>
      </c>
      <c r="J16" s="6">
        <f>_xlfn.XLOOKUP(E16,'KING TON SALES__ RAW DATA'!$A$2:$A$271,'KING TON SALES__ RAW DATA'!$I$2:$I$271)</f>
        <v>8000</v>
      </c>
      <c r="K16" s="6">
        <f t="shared" si="0"/>
        <v>69000</v>
      </c>
      <c r="L16" s="6">
        <f t="shared" si="1"/>
        <v>184000</v>
      </c>
      <c r="M16" s="6">
        <f t="shared" si="2"/>
        <v>115000</v>
      </c>
      <c r="N16" t="str">
        <f>_xlfn.XLOOKUP(E16,'KING TON SALES__ RAW DATA'!$A$2:$A$271,'KING TON SALES__ RAW DATA'!$M$2:$M$271)</f>
        <v>TRANSFER</v>
      </c>
    </row>
    <row r="17" spans="1:14">
      <c r="A17" s="7">
        <v>6678</v>
      </c>
      <c r="B17" s="8">
        <v>46240</v>
      </c>
      <c r="C17" t="s">
        <v>36</v>
      </c>
      <c r="D17" t="s">
        <v>23</v>
      </c>
      <c r="E17" t="s">
        <v>39</v>
      </c>
      <c r="F17" t="str">
        <f>_xlfn.XLOOKUP(E17,'KING TON SALES__ RAW DATA'!$A$2:$A$271,'KING TON SALES__ RAW DATA'!$B$2:$B$271)</f>
        <v>3 TO 3 AV (5m) WIRE</v>
      </c>
      <c r="G17" t="str">
        <f>_xlfn.XLOOKUP(E17,'KING TON SALES__ RAW DATA'!$A$2:$A$271,'KING TON SALES__ RAW DATA'!$D$2:$D$271)</f>
        <v>WIRE</v>
      </c>
      <c r="H17" s="6">
        <f>_xlfn.XLOOKUP(E17,'KING TON SALES__ RAW DATA'!$A$2:$A$271,'KING TON SALES__ RAW DATA'!$G$2:$G$271)</f>
        <v>1200</v>
      </c>
      <c r="I17">
        <v>24</v>
      </c>
      <c r="J17" s="6">
        <f>_xlfn.XLOOKUP(E17,'KING TON SALES__ RAW DATA'!$A$2:$A$271,'KING TON SALES__ RAW DATA'!$I$2:$I$271)</f>
        <v>2500</v>
      </c>
      <c r="K17" s="6">
        <f t="shared" si="0"/>
        <v>28800</v>
      </c>
      <c r="L17" s="6">
        <f t="shared" si="1"/>
        <v>60000</v>
      </c>
      <c r="M17" s="6">
        <f t="shared" si="2"/>
        <v>31200</v>
      </c>
      <c r="N17" t="str">
        <f>_xlfn.XLOOKUP(E17,'KING TON SALES__ RAW DATA'!$A$2:$A$271,'KING TON SALES__ RAW DATA'!$M$2:$M$271)</f>
        <v>POS</v>
      </c>
    </row>
    <row r="18" spans="1:14">
      <c r="A18" s="7">
        <v>6679</v>
      </c>
      <c r="B18" s="8">
        <v>46228</v>
      </c>
      <c r="C18" t="s">
        <v>19</v>
      </c>
      <c r="D18" t="s">
        <v>18</v>
      </c>
      <c r="E18" t="s">
        <v>63</v>
      </c>
      <c r="F18" t="str">
        <f>_xlfn.XLOOKUP(E18,'KING TON SALES__ RAW DATA'!$A$2:$A$271,'KING TON SALES__ RAW DATA'!$B$2:$B$271)</f>
        <v>4K HDMI (5m) WIRE</v>
      </c>
      <c r="G18" t="str">
        <f>_xlfn.XLOOKUP(E18,'KING TON SALES__ RAW DATA'!$A$2:$A$271,'KING TON SALES__ RAW DATA'!$D$2:$D$271)</f>
        <v>WIRE</v>
      </c>
      <c r="H18" s="6">
        <f>_xlfn.XLOOKUP(E18,'KING TON SALES__ RAW DATA'!$A$2:$A$271,'KING TON SALES__ RAW DATA'!$G$2:$G$271)</f>
        <v>3000</v>
      </c>
      <c r="I18">
        <v>23</v>
      </c>
      <c r="J18" s="6">
        <f>_xlfn.XLOOKUP(E18,'KING TON SALES__ RAW DATA'!$A$2:$A$271,'KING TON SALES__ RAW DATA'!$I$2:$I$271)</f>
        <v>8000</v>
      </c>
      <c r="K18" s="6">
        <f t="shared" si="0"/>
        <v>69000</v>
      </c>
      <c r="L18" s="6">
        <f t="shared" si="1"/>
        <v>184000</v>
      </c>
      <c r="M18" s="6">
        <f t="shared" si="2"/>
        <v>115000</v>
      </c>
      <c r="N18" t="str">
        <f>_xlfn.XLOOKUP(E18,'KING TON SALES__ RAW DATA'!$A$2:$A$271,'KING TON SALES__ RAW DATA'!$M$2:$M$271)</f>
        <v>POS</v>
      </c>
    </row>
    <row r="19" spans="1:14">
      <c r="A19" s="7">
        <v>6680</v>
      </c>
      <c r="B19" s="8">
        <v>46254</v>
      </c>
      <c r="C19" t="s">
        <v>43</v>
      </c>
      <c r="D19" t="s">
        <v>18</v>
      </c>
      <c r="E19" t="s">
        <v>41</v>
      </c>
      <c r="F19" t="str">
        <f>_xlfn.XLOOKUP(E19,'KING TON SALES__ RAW DATA'!$A$2:$A$271,'KING TON SALES__ RAW DATA'!$B$2:$B$271)</f>
        <v>3 TO 3 AV (10m) WIRE</v>
      </c>
      <c r="G19" t="str">
        <f>_xlfn.XLOOKUP(E19,'KING TON SALES__ RAW DATA'!$A$2:$A$271,'KING TON SALES__ RAW DATA'!$D$2:$D$271)</f>
        <v>WIRE</v>
      </c>
      <c r="H19" s="6">
        <f>_xlfn.XLOOKUP(E19,'KING TON SALES__ RAW DATA'!$A$2:$A$271,'KING TON SALES__ RAW DATA'!$G$2:$G$271)</f>
        <v>1500</v>
      </c>
      <c r="I19">
        <v>19</v>
      </c>
      <c r="J19" s="6">
        <f>_xlfn.XLOOKUP(E19,'KING TON SALES__ RAW DATA'!$A$2:$A$271,'KING TON SALES__ RAW DATA'!$I$2:$I$271)</f>
        <v>3500</v>
      </c>
      <c r="K19" s="6">
        <f t="shared" si="0"/>
        <v>28500</v>
      </c>
      <c r="L19" s="6">
        <f t="shared" si="1"/>
        <v>66500</v>
      </c>
      <c r="M19" s="6">
        <f t="shared" si="2"/>
        <v>38000</v>
      </c>
      <c r="N19" t="str">
        <f>_xlfn.XLOOKUP(E19,'KING TON SALES__ RAW DATA'!$A$2:$A$271,'KING TON SALES__ RAW DATA'!$M$2:$M$271)</f>
        <v>POS</v>
      </c>
    </row>
    <row r="20" spans="1:14">
      <c r="A20" s="7">
        <v>6681</v>
      </c>
      <c r="B20" s="8">
        <v>46250</v>
      </c>
      <c r="C20" t="s">
        <v>19</v>
      </c>
      <c r="D20" t="s">
        <v>23</v>
      </c>
      <c r="E20" t="s">
        <v>151</v>
      </c>
      <c r="F20" t="str">
        <f>_xlfn.XLOOKUP(E20,'KING TON SALES__ RAW DATA'!$A$2:$A$271,'KING TON SALES__ RAW DATA'!$B$2:$B$271)</f>
        <v>777 9v BATTERY</v>
      </c>
      <c r="G20" t="str">
        <f>_xlfn.XLOOKUP(E20,'KING TON SALES__ RAW DATA'!$A$2:$A$271,'KING TON SALES__ RAW DATA'!$D$2:$D$271)</f>
        <v>BATTERY</v>
      </c>
      <c r="H20" s="6">
        <f>_xlfn.XLOOKUP(E20,'KING TON SALES__ RAW DATA'!$A$2:$A$271,'KING TON SALES__ RAW DATA'!$G$2:$G$271)</f>
        <v>250</v>
      </c>
      <c r="I20">
        <v>22</v>
      </c>
      <c r="J20" s="6">
        <f>_xlfn.XLOOKUP(E20,'KING TON SALES__ RAW DATA'!$A$2:$A$271,'KING TON SALES__ RAW DATA'!$I$2:$I$271)</f>
        <v>500</v>
      </c>
      <c r="K20" s="6">
        <f t="shared" si="0"/>
        <v>5500</v>
      </c>
      <c r="L20" s="6">
        <f t="shared" si="1"/>
        <v>11000</v>
      </c>
      <c r="M20" s="6">
        <f t="shared" si="2"/>
        <v>5500</v>
      </c>
      <c r="N20" t="str">
        <f>_xlfn.XLOOKUP(E20,'KING TON SALES__ RAW DATA'!$A$2:$A$271,'KING TON SALES__ RAW DATA'!$M$2:$M$271)</f>
        <v>TRANSFER</v>
      </c>
    </row>
    <row r="21" spans="1:14">
      <c r="A21" s="7">
        <v>6682</v>
      </c>
      <c r="B21" s="8">
        <v>46221</v>
      </c>
      <c r="C21" t="s">
        <v>43</v>
      </c>
      <c r="D21" t="s">
        <v>18</v>
      </c>
      <c r="E21" t="s">
        <v>73</v>
      </c>
      <c r="F21" t="str">
        <f>_xlfn.XLOOKUP(E21,'KING TON SALES__ RAW DATA'!$A$2:$A$271,'KING TON SALES__ RAW DATA'!$B$2:$B$271)</f>
        <v>BLUE 4K HDMI (1.5m) WIRE</v>
      </c>
      <c r="G21" t="str">
        <f>_xlfn.XLOOKUP(E21,'KING TON SALES__ RAW DATA'!$A$2:$A$271,'KING TON SALES__ RAW DATA'!$D$2:$D$271)</f>
        <v>WIRE</v>
      </c>
      <c r="H21" s="6">
        <f>_xlfn.XLOOKUP(E21,'KING TON SALES__ RAW DATA'!$A$2:$A$271,'KING TON SALES__ RAW DATA'!$G$2:$G$271)</f>
        <v>1500</v>
      </c>
      <c r="I21">
        <v>17</v>
      </c>
      <c r="J21" s="6">
        <f>_xlfn.XLOOKUP(E21,'KING TON SALES__ RAW DATA'!$A$2:$A$271,'KING TON SALES__ RAW DATA'!$I$2:$I$271)</f>
        <v>3000</v>
      </c>
      <c r="K21" s="6">
        <f t="shared" si="0"/>
        <v>25500</v>
      </c>
      <c r="L21" s="6">
        <f t="shared" si="1"/>
        <v>51000</v>
      </c>
      <c r="M21" s="6">
        <f t="shared" si="2"/>
        <v>25500</v>
      </c>
      <c r="N21" t="str">
        <f>_xlfn.XLOOKUP(E21,'KING TON SALES__ RAW DATA'!$A$2:$A$271,'KING TON SALES__ RAW DATA'!$M$2:$M$271)</f>
        <v>CASH</v>
      </c>
    </row>
    <row r="22" spans="1:14">
      <c r="A22" s="7">
        <v>6683</v>
      </c>
      <c r="B22" s="8">
        <v>46238</v>
      </c>
      <c r="C22" t="s">
        <v>19</v>
      </c>
      <c r="D22" t="s">
        <v>23</v>
      </c>
      <c r="E22" t="s">
        <v>89</v>
      </c>
      <c r="F22" t="str">
        <f>_xlfn.XLOOKUP(E22,'KING TON SALES__ RAW DATA'!$A$2:$A$271,'KING TON SALES__ RAW DATA'!$B$2:$B$271)</f>
        <v>DC TO FEMALE DC (1.5) WIRE</v>
      </c>
      <c r="G22" t="str">
        <f>_xlfn.XLOOKUP(E22,'KING TON SALES__ RAW DATA'!$A$2:$A$271,'KING TON SALES__ RAW DATA'!$D$2:$D$271)</f>
        <v>WIRE</v>
      </c>
      <c r="H22" s="6">
        <f>_xlfn.XLOOKUP(E22,'KING TON SALES__ RAW DATA'!$A$2:$A$271,'KING TON SALES__ RAW DATA'!$G$2:$G$271)</f>
        <v>500</v>
      </c>
      <c r="I22">
        <v>22</v>
      </c>
      <c r="J22" s="6">
        <f>_xlfn.XLOOKUP(E22,'KING TON SALES__ RAW DATA'!$A$2:$A$271,'KING TON SALES__ RAW DATA'!$I$2:$I$271)</f>
        <v>1500</v>
      </c>
      <c r="K22" s="6">
        <f t="shared" si="0"/>
        <v>11000</v>
      </c>
      <c r="L22" s="6">
        <f t="shared" si="1"/>
        <v>33000</v>
      </c>
      <c r="M22" s="6">
        <f t="shared" si="2"/>
        <v>22000</v>
      </c>
      <c r="N22" t="str">
        <f>_xlfn.XLOOKUP(E22,'KING TON SALES__ RAW DATA'!$A$2:$A$271,'KING TON SALES__ RAW DATA'!$M$2:$M$271)</f>
        <v>POS</v>
      </c>
    </row>
    <row r="23" spans="1:14">
      <c r="A23" s="7">
        <v>6684</v>
      </c>
      <c r="B23" s="8">
        <v>46208</v>
      </c>
      <c r="C23" t="s">
        <v>19</v>
      </c>
      <c r="D23" t="s">
        <v>18</v>
      </c>
      <c r="E23" t="s">
        <v>93</v>
      </c>
      <c r="F23" t="str">
        <f>_xlfn.XLOOKUP(E23,'KING TON SALES__ RAW DATA'!$A$2:$A$271,'KING TON SALES__ RAW DATA'!$B$2:$B$271)</f>
        <v>KAPU WIRE</v>
      </c>
      <c r="G23" t="str">
        <f>_xlfn.XLOOKUP(E23,'KING TON SALES__ RAW DATA'!$A$2:$A$271,'KING TON SALES__ RAW DATA'!$D$2:$D$271)</f>
        <v>WIRE</v>
      </c>
      <c r="H23" s="6">
        <f>_xlfn.XLOOKUP(E23,'KING TON SALES__ RAW DATA'!$A$2:$A$271,'KING TON SALES__ RAW DATA'!$G$2:$G$271)</f>
        <v>60000</v>
      </c>
      <c r="I23">
        <v>25</v>
      </c>
      <c r="J23" s="6">
        <f>_xlfn.XLOOKUP(E23,'KING TON SALES__ RAW DATA'!$A$2:$A$271,'KING TON SALES__ RAW DATA'!$I$2:$I$271)</f>
        <v>100000</v>
      </c>
      <c r="K23" s="6">
        <f t="shared" si="0"/>
        <v>1500000</v>
      </c>
      <c r="L23" s="6">
        <f t="shared" si="1"/>
        <v>2500000</v>
      </c>
      <c r="M23" s="6">
        <f t="shared" si="2"/>
        <v>1000000</v>
      </c>
      <c r="N23" t="str">
        <f>_xlfn.XLOOKUP(E23,'KING TON SALES__ RAW DATA'!$A$2:$A$271,'KING TON SALES__ RAW DATA'!$M$2:$M$271)</f>
        <v>CASH</v>
      </c>
    </row>
    <row r="24" spans="1:14">
      <c r="A24" s="7">
        <v>6685</v>
      </c>
      <c r="B24" s="8">
        <v>46233</v>
      </c>
      <c r="C24" t="s">
        <v>19</v>
      </c>
      <c r="D24" t="s">
        <v>23</v>
      </c>
      <c r="E24" t="s">
        <v>21</v>
      </c>
      <c r="F24" t="str">
        <f>_xlfn.XLOOKUP(E24,'KING TON SALES__ RAW DATA'!$A$2:$A$271,'KING TON SALES__ RAW DATA'!$B$2:$B$271)</f>
        <v>2 TO 2 AV (1.5m) WIRE</v>
      </c>
      <c r="G24" t="str">
        <f>_xlfn.XLOOKUP(E24,'KING TON SALES__ RAW DATA'!$A$2:$A$271,'KING TON SALES__ RAW DATA'!$D$2:$D$271)</f>
        <v>WIRE</v>
      </c>
      <c r="H24" s="6">
        <f>_xlfn.XLOOKUP(E24,'KING TON SALES__ RAW DATA'!$A$2:$A$271,'KING TON SALES__ RAW DATA'!$G$2:$G$271)</f>
        <v>500</v>
      </c>
      <c r="I24">
        <v>22</v>
      </c>
      <c r="J24" s="6">
        <f>_xlfn.XLOOKUP(E24,'KING TON SALES__ RAW DATA'!$A$2:$A$271,'KING TON SALES__ RAW DATA'!$I$2:$I$271)</f>
        <v>1000</v>
      </c>
      <c r="K24" s="6">
        <f t="shared" si="0"/>
        <v>11000</v>
      </c>
      <c r="L24" s="6">
        <f t="shared" si="1"/>
        <v>22000</v>
      </c>
      <c r="M24" s="6">
        <f t="shared" si="2"/>
        <v>11000</v>
      </c>
      <c r="N24" t="str">
        <f>_xlfn.XLOOKUP(E24,'KING TON SALES__ RAW DATA'!$A$2:$A$271,'KING TON SALES__ RAW DATA'!$M$2:$M$271)</f>
        <v>CASH</v>
      </c>
    </row>
    <row r="25" spans="1:14">
      <c r="A25" s="7">
        <v>6686</v>
      </c>
      <c r="B25" s="8">
        <v>46206</v>
      </c>
      <c r="C25" t="s">
        <v>19</v>
      </c>
      <c r="D25" t="s">
        <v>23</v>
      </c>
      <c r="E25" t="s">
        <v>120</v>
      </c>
      <c r="F25" t="str">
        <f>_xlfn.XLOOKUP(E25,'KING TON SALES__ RAW DATA'!$A$2:$A$271,'KING TON SALES__ RAW DATA'!$B$2:$B$271)</f>
        <v>13 AMPS DOUBLE SOCKET BENJOR</v>
      </c>
      <c r="G25" t="str">
        <f>_xlfn.XLOOKUP(E25,'KING TON SALES__ RAW DATA'!$A$2:$A$271,'KING TON SALES__ RAW DATA'!$D$2:$D$271)</f>
        <v>ELECTRICAL</v>
      </c>
      <c r="H25" s="6">
        <f>_xlfn.XLOOKUP(E25,'KING TON SALES__ RAW DATA'!$A$2:$A$271,'KING TON SALES__ RAW DATA'!$G$2:$G$271)</f>
        <v>2500</v>
      </c>
      <c r="I25">
        <v>22</v>
      </c>
      <c r="J25" s="6">
        <f>_xlfn.XLOOKUP(E25,'KING TON SALES__ RAW DATA'!$A$2:$A$271,'KING TON SALES__ RAW DATA'!$I$2:$I$271)</f>
        <v>5000</v>
      </c>
      <c r="K25" s="6">
        <f t="shared" si="0"/>
        <v>55000</v>
      </c>
      <c r="L25" s="6">
        <f t="shared" si="1"/>
        <v>110000</v>
      </c>
      <c r="M25" s="6">
        <f t="shared" si="2"/>
        <v>55000</v>
      </c>
      <c r="N25" t="str">
        <f>_xlfn.XLOOKUP(E25,'KING TON SALES__ RAW DATA'!$A$2:$A$271,'KING TON SALES__ RAW DATA'!$M$2:$M$271)</f>
        <v>POS</v>
      </c>
    </row>
    <row r="26" spans="1:14">
      <c r="A26" s="7">
        <v>6687</v>
      </c>
      <c r="B26" s="8">
        <v>46243</v>
      </c>
      <c r="C26" t="s">
        <v>43</v>
      </c>
      <c r="D26" t="s">
        <v>23</v>
      </c>
      <c r="E26" t="s">
        <v>44</v>
      </c>
      <c r="F26" t="str">
        <f>_xlfn.XLOOKUP(E26,'KING TON SALES__ RAW DATA'!$A$2:$A$271,'KING TON SALES__ RAW DATA'!$B$2:$B$271)</f>
        <v>3 TO 3 AV (15m) WIRE</v>
      </c>
      <c r="G26" t="str">
        <f>_xlfn.XLOOKUP(E26,'KING TON SALES__ RAW DATA'!$A$2:$A$271,'KING TON SALES__ RAW DATA'!$D$2:$D$271)</f>
        <v>WIRE</v>
      </c>
      <c r="H26" s="6">
        <f>_xlfn.XLOOKUP(E26,'KING TON SALES__ RAW DATA'!$A$2:$A$271,'KING TON SALES__ RAW DATA'!$G$2:$G$271)</f>
        <v>2500</v>
      </c>
      <c r="I26">
        <v>24</v>
      </c>
      <c r="J26" s="6">
        <f>_xlfn.XLOOKUP(E26,'KING TON SALES__ RAW DATA'!$A$2:$A$271,'KING TON SALES__ RAW DATA'!$I$2:$I$271)</f>
        <v>5000</v>
      </c>
      <c r="K26" s="6">
        <f t="shared" si="0"/>
        <v>60000</v>
      </c>
      <c r="L26" s="6">
        <f t="shared" si="1"/>
        <v>120000</v>
      </c>
      <c r="M26" s="6">
        <f t="shared" si="2"/>
        <v>60000</v>
      </c>
      <c r="N26" t="str">
        <f>_xlfn.XLOOKUP(E26,'KING TON SALES__ RAW DATA'!$A$2:$A$271,'KING TON SALES__ RAW DATA'!$M$2:$M$271)</f>
        <v>POS</v>
      </c>
    </row>
    <row r="27" spans="1:14">
      <c r="A27" s="7">
        <v>6688</v>
      </c>
      <c r="B27" s="8">
        <v>46254</v>
      </c>
      <c r="C27" t="s">
        <v>33</v>
      </c>
      <c r="D27" t="s">
        <v>23</v>
      </c>
      <c r="E27" t="s">
        <v>65</v>
      </c>
      <c r="F27" t="str">
        <f>_xlfn.XLOOKUP(E27,'KING TON SALES__ RAW DATA'!$A$2:$A$271,'KING TON SALES__ RAW DATA'!$B$2:$B$271)</f>
        <v>4K HDMI (10m) WIRE</v>
      </c>
      <c r="G27" t="str">
        <f>_xlfn.XLOOKUP(E27,'KING TON SALES__ RAW DATA'!$A$2:$A$271,'KING TON SALES__ RAW DATA'!$D$2:$D$271)</f>
        <v>WIRE</v>
      </c>
      <c r="H27" s="6">
        <f>_xlfn.XLOOKUP(E27,'KING TON SALES__ RAW DATA'!$A$2:$A$271,'KING TON SALES__ RAW DATA'!$G$2:$G$271)</f>
        <v>5000</v>
      </c>
      <c r="I27">
        <v>22</v>
      </c>
      <c r="J27" s="6">
        <f>_xlfn.XLOOKUP(E27,'KING TON SALES__ RAW DATA'!$A$2:$A$271,'KING TON SALES__ RAW DATA'!$I$2:$I$271)</f>
        <v>15000</v>
      </c>
      <c r="K27" s="6">
        <f t="shared" si="0"/>
        <v>110000</v>
      </c>
      <c r="L27" s="6">
        <f t="shared" si="1"/>
        <v>330000</v>
      </c>
      <c r="M27" s="6">
        <f t="shared" si="2"/>
        <v>220000</v>
      </c>
      <c r="N27" t="str">
        <f>_xlfn.XLOOKUP(E27,'KING TON SALES__ RAW DATA'!$A$2:$A$271,'KING TON SALES__ RAW DATA'!$M$2:$M$271)</f>
        <v>CASH</v>
      </c>
    </row>
    <row r="28" spans="1:14">
      <c r="A28" s="7">
        <v>6689</v>
      </c>
      <c r="B28" s="8">
        <v>46237</v>
      </c>
      <c r="C28" t="s">
        <v>19</v>
      </c>
      <c r="D28" t="s">
        <v>23</v>
      </c>
      <c r="E28" t="s">
        <v>85</v>
      </c>
      <c r="F28" t="str">
        <f>_xlfn.XLOOKUP(E28,'KING TON SALES__ RAW DATA'!$A$2:$A$271,'KING TON SALES__ RAW DATA'!$B$2:$B$271)</f>
        <v>DC TO DC MALE (3m) WIRE</v>
      </c>
      <c r="G28" t="str">
        <f>_xlfn.XLOOKUP(E28,'KING TON SALES__ RAW DATA'!$A$2:$A$271,'KING TON SALES__ RAW DATA'!$D$2:$D$271)</f>
        <v>WIRE</v>
      </c>
      <c r="H28" s="6">
        <f>_xlfn.XLOOKUP(E28,'KING TON SALES__ RAW DATA'!$A$2:$A$271,'KING TON SALES__ RAW DATA'!$G$2:$G$271)</f>
        <v>500</v>
      </c>
      <c r="I28">
        <v>23</v>
      </c>
      <c r="J28" s="6">
        <f>_xlfn.XLOOKUP(E28,'KING TON SALES__ RAW DATA'!$A$2:$A$271,'KING TON SALES__ RAW DATA'!$I$2:$I$271)</f>
        <v>1000</v>
      </c>
      <c r="K28" s="6">
        <f t="shared" si="0"/>
        <v>11500</v>
      </c>
      <c r="L28" s="6">
        <f t="shared" si="1"/>
        <v>23000</v>
      </c>
      <c r="M28" s="6">
        <f t="shared" si="2"/>
        <v>11500</v>
      </c>
      <c r="N28" t="str">
        <f>_xlfn.XLOOKUP(E28,'KING TON SALES__ RAW DATA'!$A$2:$A$271,'KING TON SALES__ RAW DATA'!$M$2:$M$271)</f>
        <v>POS</v>
      </c>
    </row>
    <row r="29" spans="1:14">
      <c r="A29" s="7">
        <v>6690</v>
      </c>
      <c r="B29" s="8">
        <v>46255</v>
      </c>
      <c r="C29" t="s">
        <v>19</v>
      </c>
      <c r="D29" t="s">
        <v>23</v>
      </c>
      <c r="E29" t="s">
        <v>89</v>
      </c>
      <c r="F29" t="str">
        <f>_xlfn.XLOOKUP(E29,'KING TON SALES__ RAW DATA'!$A$2:$A$271,'KING TON SALES__ RAW DATA'!$B$2:$B$271)</f>
        <v>DC TO FEMALE DC (1.5) WIRE</v>
      </c>
      <c r="G29" t="str">
        <f>_xlfn.XLOOKUP(E29,'KING TON SALES__ RAW DATA'!$A$2:$A$271,'KING TON SALES__ RAW DATA'!$D$2:$D$271)</f>
        <v>WIRE</v>
      </c>
      <c r="H29" s="6">
        <f>_xlfn.XLOOKUP(E29,'KING TON SALES__ RAW DATA'!$A$2:$A$271,'KING TON SALES__ RAW DATA'!$G$2:$G$271)</f>
        <v>500</v>
      </c>
      <c r="I29">
        <v>18</v>
      </c>
      <c r="J29" s="6">
        <f>_xlfn.XLOOKUP(E29,'KING TON SALES__ RAW DATA'!$A$2:$A$271,'KING TON SALES__ RAW DATA'!$I$2:$I$271)</f>
        <v>1500</v>
      </c>
      <c r="K29" s="6">
        <f t="shared" si="0"/>
        <v>9000</v>
      </c>
      <c r="L29" s="6">
        <f t="shared" si="1"/>
        <v>27000</v>
      </c>
      <c r="M29" s="6">
        <f t="shared" si="2"/>
        <v>18000</v>
      </c>
      <c r="N29" t="str">
        <f>_xlfn.XLOOKUP(E29,'KING TON SALES__ RAW DATA'!$A$2:$A$271,'KING TON SALES__ RAW DATA'!$M$2:$M$271)</f>
        <v>POS</v>
      </c>
    </row>
    <row r="30" spans="1:14">
      <c r="A30" s="7">
        <v>6691</v>
      </c>
      <c r="B30" s="8">
        <v>46255</v>
      </c>
      <c r="C30" t="s">
        <v>43</v>
      </c>
      <c r="D30" t="s">
        <v>23</v>
      </c>
      <c r="E30" t="s">
        <v>75</v>
      </c>
      <c r="F30" t="str">
        <f>_xlfn.XLOOKUP(E30,'KING TON SALES__ RAW DATA'!$A$2:$A$271,'KING TON SALES__ RAW DATA'!$B$2:$B$271)</f>
        <v>BLUE 4K HDMI (3m) WIRE</v>
      </c>
      <c r="G30" t="str">
        <f>_xlfn.XLOOKUP(E30,'KING TON SALES__ RAW DATA'!$A$2:$A$271,'KING TON SALES__ RAW DATA'!$D$2:$D$271)</f>
        <v>WIRE</v>
      </c>
      <c r="H30" s="6">
        <f>_xlfn.XLOOKUP(E30,'KING TON SALES__ RAW DATA'!$A$2:$A$271,'KING TON SALES__ RAW DATA'!$G$2:$G$271)</f>
        <v>3000</v>
      </c>
      <c r="I30">
        <v>17</v>
      </c>
      <c r="J30" s="6">
        <f>_xlfn.XLOOKUP(E30,'KING TON SALES__ RAW DATA'!$A$2:$A$271,'KING TON SALES__ RAW DATA'!$I$2:$I$271)</f>
        <v>6000</v>
      </c>
      <c r="K30" s="6">
        <f t="shared" si="0"/>
        <v>51000</v>
      </c>
      <c r="L30" s="6">
        <f t="shared" si="1"/>
        <v>102000</v>
      </c>
      <c r="M30" s="6">
        <f t="shared" si="2"/>
        <v>51000</v>
      </c>
      <c r="N30" t="str">
        <f>_xlfn.XLOOKUP(E30,'KING TON SALES__ RAW DATA'!$A$2:$A$271,'KING TON SALES__ RAW DATA'!$M$2:$M$271)</f>
        <v>POS</v>
      </c>
    </row>
    <row r="31" spans="1:14">
      <c r="A31" s="7">
        <v>6692</v>
      </c>
      <c r="B31" s="8">
        <v>46227</v>
      </c>
      <c r="C31" t="s">
        <v>36</v>
      </c>
      <c r="D31" t="s">
        <v>18</v>
      </c>
      <c r="E31" t="s">
        <v>67</v>
      </c>
      <c r="F31" t="str">
        <f>_xlfn.XLOOKUP(E31,'KING TON SALES__ RAW DATA'!$A$2:$A$271,'KING TON SALES__ RAW DATA'!$B$2:$B$271)</f>
        <v>4K HDMI (20m) WIRE</v>
      </c>
      <c r="G31" t="str">
        <f>_xlfn.XLOOKUP(E31,'KING TON SALES__ RAW DATA'!$A$2:$A$271,'KING TON SALES__ RAW DATA'!$D$2:$D$271)</f>
        <v>WIRE</v>
      </c>
      <c r="H31" s="6">
        <f>_xlfn.XLOOKUP(E31,'KING TON SALES__ RAW DATA'!$A$2:$A$271,'KING TON SALES__ RAW DATA'!$G$2:$G$271)</f>
        <v>20000</v>
      </c>
      <c r="I31">
        <v>22</v>
      </c>
      <c r="J31" s="6">
        <f>_xlfn.XLOOKUP(E31,'KING TON SALES__ RAW DATA'!$A$2:$A$271,'KING TON SALES__ RAW DATA'!$I$2:$I$271)</f>
        <v>25000</v>
      </c>
      <c r="K31" s="6">
        <f t="shared" si="0"/>
        <v>440000</v>
      </c>
      <c r="L31" s="6">
        <f t="shared" si="1"/>
        <v>550000</v>
      </c>
      <c r="M31" s="6">
        <f t="shared" si="2"/>
        <v>110000</v>
      </c>
      <c r="N31" t="str">
        <f>_xlfn.XLOOKUP(E31,'KING TON SALES__ RAW DATA'!$A$2:$A$271,'KING TON SALES__ RAW DATA'!$M$2:$M$271)</f>
        <v>POS</v>
      </c>
    </row>
    <row r="32" spans="1:14">
      <c r="A32" s="7">
        <v>6693</v>
      </c>
      <c r="B32" s="8">
        <v>46253</v>
      </c>
      <c r="C32" t="s">
        <v>19</v>
      </c>
      <c r="D32" t="s">
        <v>23</v>
      </c>
      <c r="E32" t="s">
        <v>69</v>
      </c>
      <c r="F32" t="str">
        <f>_xlfn.XLOOKUP(E32,'KING TON SALES__ RAW DATA'!$A$2:$A$271,'KING TON SALES__ RAW DATA'!$B$2:$B$271)</f>
        <v>4K HDMI (50m) WIRE</v>
      </c>
      <c r="G32" t="str">
        <f>_xlfn.XLOOKUP(E32,'KING TON SALES__ RAW DATA'!$A$2:$A$271,'KING TON SALES__ RAW DATA'!$D$2:$D$271)</f>
        <v>WIRE</v>
      </c>
      <c r="H32" s="6">
        <f>_xlfn.XLOOKUP(E32,'KING TON SALES__ RAW DATA'!$A$2:$A$271,'KING TON SALES__ RAW DATA'!$G$2:$G$271)</f>
        <v>30000</v>
      </c>
      <c r="I32">
        <v>20</v>
      </c>
      <c r="J32" s="6">
        <f>_xlfn.XLOOKUP(E32,'KING TON SALES__ RAW DATA'!$A$2:$A$271,'KING TON SALES__ RAW DATA'!$I$2:$I$271)</f>
        <v>45000</v>
      </c>
      <c r="K32" s="6">
        <f t="shared" si="0"/>
        <v>600000</v>
      </c>
      <c r="L32" s="6">
        <f t="shared" si="1"/>
        <v>900000</v>
      </c>
      <c r="M32" s="6">
        <f t="shared" si="2"/>
        <v>300000</v>
      </c>
      <c r="N32" t="str">
        <f>_xlfn.XLOOKUP(E32,'KING TON SALES__ RAW DATA'!$A$2:$A$271,'KING TON SALES__ RAW DATA'!$M$2:$M$271)</f>
        <v>TRANSFER</v>
      </c>
    </row>
    <row r="33" spans="1:14">
      <c r="A33" s="7">
        <v>6694</v>
      </c>
      <c r="B33" s="8">
        <v>46236</v>
      </c>
      <c r="C33" t="s">
        <v>43</v>
      </c>
      <c r="D33" t="s">
        <v>18</v>
      </c>
      <c r="E33" t="s">
        <v>41</v>
      </c>
      <c r="F33" t="str">
        <f>_xlfn.XLOOKUP(E33,'KING TON SALES__ RAW DATA'!$A$2:$A$271,'KING TON SALES__ RAW DATA'!$B$2:$B$271)</f>
        <v>3 TO 3 AV (10m) WIRE</v>
      </c>
      <c r="G33" t="str">
        <f>_xlfn.XLOOKUP(E33,'KING TON SALES__ RAW DATA'!$A$2:$A$271,'KING TON SALES__ RAW DATA'!$D$2:$D$271)</f>
        <v>WIRE</v>
      </c>
      <c r="H33" s="6">
        <f>_xlfn.XLOOKUP(E33,'KING TON SALES__ RAW DATA'!$A$2:$A$271,'KING TON SALES__ RAW DATA'!$G$2:$G$271)</f>
        <v>1500</v>
      </c>
      <c r="I33">
        <v>19</v>
      </c>
      <c r="J33" s="6">
        <f>_xlfn.XLOOKUP(E33,'KING TON SALES__ RAW DATA'!$A$2:$A$271,'KING TON SALES__ RAW DATA'!$I$2:$I$271)</f>
        <v>3500</v>
      </c>
      <c r="K33" s="6">
        <f t="shared" si="0"/>
        <v>28500</v>
      </c>
      <c r="L33" s="6">
        <f t="shared" si="1"/>
        <v>66500</v>
      </c>
      <c r="M33" s="6">
        <f t="shared" si="2"/>
        <v>38000</v>
      </c>
      <c r="N33" t="str">
        <f>_xlfn.XLOOKUP(E33,'KING TON SALES__ RAW DATA'!$A$2:$A$271,'KING TON SALES__ RAW DATA'!$M$2:$M$271)</f>
        <v>POS</v>
      </c>
    </row>
    <row r="34" spans="1:14">
      <c r="A34" s="7">
        <v>6695</v>
      </c>
      <c r="B34" s="8">
        <v>46262</v>
      </c>
      <c r="C34" t="s">
        <v>19</v>
      </c>
      <c r="D34" t="s">
        <v>18</v>
      </c>
      <c r="E34" t="s">
        <v>57</v>
      </c>
      <c r="F34" t="str">
        <f>_xlfn.XLOOKUP(E34,'KING TON SALES__ RAW DATA'!$A$2:$A$271,'KING TON SALES__ RAW DATA'!$B$2:$B$271)</f>
        <v>HDMI (20m) WIRE</v>
      </c>
      <c r="G34" t="str">
        <f>_xlfn.XLOOKUP(E34,'KING TON SALES__ RAW DATA'!$A$2:$A$271,'KING TON SALES__ RAW DATA'!$D$2:$D$271)</f>
        <v>WIRE</v>
      </c>
      <c r="H34" s="6">
        <f>_xlfn.XLOOKUP(E34,'KING TON SALES__ RAW DATA'!$A$2:$A$271,'KING TON SALES__ RAW DATA'!$G$2:$G$271)</f>
        <v>4000</v>
      </c>
      <c r="I34">
        <v>22</v>
      </c>
      <c r="J34" s="6">
        <f>_xlfn.XLOOKUP(E34,'KING TON SALES__ RAW DATA'!$A$2:$A$271,'KING TON SALES__ RAW DATA'!$I$2:$I$271)</f>
        <v>12000</v>
      </c>
      <c r="K34" s="6">
        <f t="shared" si="0"/>
        <v>88000</v>
      </c>
      <c r="L34" s="6">
        <f t="shared" si="1"/>
        <v>264000</v>
      </c>
      <c r="M34" s="6">
        <f t="shared" si="2"/>
        <v>176000</v>
      </c>
      <c r="N34" t="str">
        <f>_xlfn.XLOOKUP(E34,'KING TON SALES__ RAW DATA'!$A$2:$A$271,'KING TON SALES__ RAW DATA'!$M$2:$M$271)</f>
        <v>TRANSFER</v>
      </c>
    </row>
    <row r="35" spans="1:14">
      <c r="A35" s="7">
        <v>6696</v>
      </c>
      <c r="B35" s="8">
        <v>46212</v>
      </c>
      <c r="C35" t="s">
        <v>52</v>
      </c>
      <c r="D35" t="s">
        <v>18</v>
      </c>
      <c r="E35" t="s">
        <v>113</v>
      </c>
      <c r="F35" t="str">
        <f>_xlfn.XLOOKUP(E35,'KING TON SALES__ RAW DATA'!$A$2:$A$271,'KING TON SALES__ RAW DATA'!$B$2:$B$271)</f>
        <v>13 AMPS PLUG HEAD BENJOR</v>
      </c>
      <c r="G35" t="str">
        <f>_xlfn.XLOOKUP(E35,'KING TON SALES__ RAW DATA'!$A$2:$A$271,'KING TON SALES__ RAW DATA'!$D$2:$D$271)</f>
        <v>ELECTRICAL</v>
      </c>
      <c r="H35" s="6">
        <f>_xlfn.XLOOKUP(E35,'KING TON SALES__ RAW DATA'!$A$2:$A$271,'KING TON SALES__ RAW DATA'!$G$2:$G$271)</f>
        <v>600</v>
      </c>
      <c r="I35">
        <v>19</v>
      </c>
      <c r="J35" s="6">
        <f>_xlfn.XLOOKUP(E35,'KING TON SALES__ RAW DATA'!$A$2:$A$271,'KING TON SALES__ RAW DATA'!$I$2:$I$271)</f>
        <v>1000</v>
      </c>
      <c r="K35" s="6">
        <f t="shared" si="0"/>
        <v>11400</v>
      </c>
      <c r="L35" s="6">
        <f t="shared" si="1"/>
        <v>19000</v>
      </c>
      <c r="M35" s="6">
        <f t="shared" si="2"/>
        <v>7600</v>
      </c>
      <c r="N35" t="str">
        <f>_xlfn.XLOOKUP(E35,'KING TON SALES__ RAW DATA'!$A$2:$A$271,'KING TON SALES__ RAW DATA'!$M$2:$M$271)</f>
        <v>TRANSFER</v>
      </c>
    </row>
    <row r="36" spans="1:14">
      <c r="A36" s="7">
        <v>6697</v>
      </c>
      <c r="B36" s="8">
        <v>46261</v>
      </c>
      <c r="C36" t="s">
        <v>19</v>
      </c>
      <c r="D36" t="s">
        <v>18</v>
      </c>
      <c r="E36" t="s">
        <v>15</v>
      </c>
      <c r="F36" t="str">
        <f>_xlfn.XLOOKUP(E36,'KING TON SALES__ RAW DATA'!$A$2:$A$271,'KING TON SALES__ RAW DATA'!$B$2:$B$271)</f>
        <v>3 TO 3 AV (1.5m) WIRE</v>
      </c>
      <c r="G36" t="str">
        <f>_xlfn.XLOOKUP(E36,'KING TON SALES__ RAW DATA'!$A$2:$A$271,'KING TON SALES__ RAW DATA'!$D$2:$D$271)</f>
        <v>WIRE</v>
      </c>
      <c r="H36" s="6">
        <f>_xlfn.XLOOKUP(E36,'KING TON SALES__ RAW DATA'!$A$2:$A$271,'KING TON SALES__ RAW DATA'!$G$2:$G$271)</f>
        <v>600</v>
      </c>
      <c r="I36">
        <v>24</v>
      </c>
      <c r="J36" s="6">
        <f>_xlfn.XLOOKUP(E36,'KING TON SALES__ RAW DATA'!$A$2:$A$271,'KING TON SALES__ RAW DATA'!$I$2:$I$271)</f>
        <v>1500</v>
      </c>
      <c r="K36" s="6">
        <f t="shared" si="0"/>
        <v>14400</v>
      </c>
      <c r="L36" s="6">
        <f t="shared" si="1"/>
        <v>36000</v>
      </c>
      <c r="M36" s="6">
        <f t="shared" si="2"/>
        <v>21600</v>
      </c>
      <c r="N36" t="str">
        <f>_xlfn.XLOOKUP(E36,'KING TON SALES__ RAW DATA'!$A$2:$A$271,'KING TON SALES__ RAW DATA'!$M$2:$M$271)</f>
        <v>POS</v>
      </c>
    </row>
    <row r="37" spans="1:14">
      <c r="A37" s="7">
        <v>6698</v>
      </c>
      <c r="B37" s="8">
        <v>46264</v>
      </c>
      <c r="C37" t="s">
        <v>36</v>
      </c>
      <c r="D37" t="s">
        <v>18</v>
      </c>
      <c r="E37" t="s">
        <v>97</v>
      </c>
      <c r="F37" t="str">
        <f>_xlfn.XLOOKUP(E37,'KING TON SALES__ RAW DATA'!$A$2:$A$271,'KING TON SALES__ RAW DATA'!$B$2:$B$271)</f>
        <v>CAT 6 WIRE</v>
      </c>
      <c r="G37" t="str">
        <f>_xlfn.XLOOKUP(E37,'KING TON SALES__ RAW DATA'!$A$2:$A$271,'KING TON SALES__ RAW DATA'!$D$2:$D$271)</f>
        <v>WIRE</v>
      </c>
      <c r="H37" s="6">
        <f>_xlfn.XLOOKUP(E37,'KING TON SALES__ RAW DATA'!$A$2:$A$271,'KING TON SALES__ RAW DATA'!$G$2:$G$271)</f>
        <v>80000</v>
      </c>
      <c r="I37">
        <v>22</v>
      </c>
      <c r="J37" s="6">
        <f>_xlfn.XLOOKUP(E37,'KING TON SALES__ RAW DATA'!$A$2:$A$271,'KING TON SALES__ RAW DATA'!$I$2:$I$271)</f>
        <v>110000</v>
      </c>
      <c r="K37" s="6">
        <f t="shared" si="0"/>
        <v>1760000</v>
      </c>
      <c r="L37" s="6">
        <f t="shared" si="1"/>
        <v>2420000</v>
      </c>
      <c r="M37" s="6">
        <f t="shared" si="2"/>
        <v>660000</v>
      </c>
      <c r="N37" t="str">
        <f>_xlfn.XLOOKUP(E37,'KING TON SALES__ RAW DATA'!$A$2:$A$271,'KING TON SALES__ RAW DATA'!$M$2:$M$271)</f>
        <v>TRANSFER</v>
      </c>
    </row>
    <row r="38" spans="1:14">
      <c r="A38" s="7">
        <v>6699</v>
      </c>
      <c r="B38" s="8">
        <v>46228</v>
      </c>
      <c r="C38" t="s">
        <v>43</v>
      </c>
      <c r="D38" t="s">
        <v>23</v>
      </c>
      <c r="E38" t="s">
        <v>75</v>
      </c>
      <c r="F38" t="str">
        <f>_xlfn.XLOOKUP(E38,'KING TON SALES__ RAW DATA'!$A$2:$A$271,'KING TON SALES__ RAW DATA'!$B$2:$B$271)</f>
        <v>BLUE 4K HDMI (3m) WIRE</v>
      </c>
      <c r="G38" t="str">
        <f>_xlfn.XLOOKUP(E38,'KING TON SALES__ RAW DATA'!$A$2:$A$271,'KING TON SALES__ RAW DATA'!$D$2:$D$271)</f>
        <v>WIRE</v>
      </c>
      <c r="H38" s="6">
        <f>_xlfn.XLOOKUP(E38,'KING TON SALES__ RAW DATA'!$A$2:$A$271,'KING TON SALES__ RAW DATA'!$G$2:$G$271)</f>
        <v>3000</v>
      </c>
      <c r="I38">
        <v>20</v>
      </c>
      <c r="J38" s="6">
        <f>_xlfn.XLOOKUP(E38,'KING TON SALES__ RAW DATA'!$A$2:$A$271,'KING TON SALES__ RAW DATA'!$I$2:$I$271)</f>
        <v>6000</v>
      </c>
      <c r="K38" s="6">
        <f t="shared" si="0"/>
        <v>60000</v>
      </c>
      <c r="L38" s="6">
        <f t="shared" si="1"/>
        <v>120000</v>
      </c>
      <c r="M38" s="6">
        <f t="shared" si="2"/>
        <v>60000</v>
      </c>
      <c r="N38" t="str">
        <f>_xlfn.XLOOKUP(E38,'KING TON SALES__ RAW DATA'!$A$2:$A$271,'KING TON SALES__ RAW DATA'!$M$2:$M$271)</f>
        <v>POS</v>
      </c>
    </row>
    <row r="39" spans="1:14">
      <c r="A39" s="7">
        <v>6700</v>
      </c>
      <c r="B39" s="8">
        <v>46216</v>
      </c>
      <c r="C39" t="s">
        <v>19</v>
      </c>
      <c r="D39" t="s">
        <v>23</v>
      </c>
      <c r="E39" t="s">
        <v>116</v>
      </c>
      <c r="F39" t="str">
        <f>_xlfn.XLOOKUP(E39,'KING TON SALES__ RAW DATA'!$A$2:$A$271,'KING TON SALES__ RAW DATA'!$B$2:$B$271)</f>
        <v>15 AMPS PLUG HEAD BENJOR</v>
      </c>
      <c r="G39" t="str">
        <f>_xlfn.XLOOKUP(E39,'KING TON SALES__ RAW DATA'!$A$2:$A$271,'KING TON SALES__ RAW DATA'!$D$2:$D$271)</f>
        <v>ELECTRICAL</v>
      </c>
      <c r="H39" s="6">
        <f>_xlfn.XLOOKUP(E39,'KING TON SALES__ RAW DATA'!$A$2:$A$271,'KING TON SALES__ RAW DATA'!$G$2:$G$271)</f>
        <v>800</v>
      </c>
      <c r="I39">
        <v>17</v>
      </c>
      <c r="J39" s="6">
        <f>_xlfn.XLOOKUP(E39,'KING TON SALES__ RAW DATA'!$A$2:$A$271,'KING TON SALES__ RAW DATA'!$I$2:$I$271)</f>
        <v>1500</v>
      </c>
      <c r="K39" s="6">
        <f t="shared" si="0"/>
        <v>13600</v>
      </c>
      <c r="L39" s="6">
        <f t="shared" si="1"/>
        <v>25500</v>
      </c>
      <c r="M39" s="6">
        <f t="shared" si="2"/>
        <v>11900</v>
      </c>
      <c r="N39" t="str">
        <f>_xlfn.XLOOKUP(E39,'KING TON SALES__ RAW DATA'!$A$2:$A$271,'KING TON SALES__ RAW DATA'!$M$2:$M$271)</f>
        <v>POS</v>
      </c>
    </row>
    <row r="40" spans="1:14">
      <c r="A40" s="7">
        <v>6701</v>
      </c>
      <c r="B40" s="8">
        <v>46211</v>
      </c>
      <c r="C40" t="s">
        <v>19</v>
      </c>
      <c r="D40" t="s">
        <v>23</v>
      </c>
      <c r="E40" t="s">
        <v>99</v>
      </c>
      <c r="F40" t="str">
        <f>_xlfn.XLOOKUP(E40,'KING TON SALES__ RAW DATA'!$A$2:$A$271,'KING TON SALES__ RAW DATA'!$B$2:$B$271)</f>
        <v>CAT 4 WIRE</v>
      </c>
      <c r="G40" t="str">
        <f>_xlfn.XLOOKUP(E40,'KING TON SALES__ RAW DATA'!$A$2:$A$271,'KING TON SALES__ RAW DATA'!$D$2:$D$271)</f>
        <v>WIRE</v>
      </c>
      <c r="H40" s="6">
        <f>_xlfn.XLOOKUP(E40,'KING TON SALES__ RAW DATA'!$A$2:$A$271,'KING TON SALES__ RAW DATA'!$G$2:$G$271)</f>
        <v>12000</v>
      </c>
      <c r="I40">
        <v>17</v>
      </c>
      <c r="J40" s="6">
        <f>_xlfn.XLOOKUP(E40,'KING TON SALES__ RAW DATA'!$A$2:$A$271,'KING TON SALES__ RAW DATA'!$I$2:$I$271)</f>
        <v>20000</v>
      </c>
      <c r="K40" s="6">
        <f t="shared" si="0"/>
        <v>204000</v>
      </c>
      <c r="L40" s="6">
        <f t="shared" si="1"/>
        <v>340000</v>
      </c>
      <c r="M40" s="6">
        <f t="shared" si="2"/>
        <v>136000</v>
      </c>
      <c r="N40" t="str">
        <f>_xlfn.XLOOKUP(E40,'KING TON SALES__ RAW DATA'!$A$2:$A$271,'KING TON SALES__ RAW DATA'!$M$2:$M$271)</f>
        <v>TRANSFER</v>
      </c>
    </row>
    <row r="41" spans="1:14">
      <c r="A41" s="7">
        <v>6702</v>
      </c>
      <c r="B41" s="8">
        <v>46206</v>
      </c>
      <c r="C41" t="s">
        <v>19</v>
      </c>
      <c r="D41" t="s">
        <v>23</v>
      </c>
      <c r="E41" t="s">
        <v>61</v>
      </c>
      <c r="F41" t="str">
        <f>_xlfn.XLOOKUP(E41,'KING TON SALES__ RAW DATA'!$A$2:$A$271,'KING TON SALES__ RAW DATA'!$B$2:$B$271)</f>
        <v>HDMI (50m) WIRE</v>
      </c>
      <c r="G41" t="str">
        <f>_xlfn.XLOOKUP(E41,'KING TON SALES__ RAW DATA'!$A$2:$A$271,'KING TON SALES__ RAW DATA'!$D$2:$D$271)</f>
        <v>WIRE</v>
      </c>
      <c r="H41" s="6">
        <f>_xlfn.XLOOKUP(E41,'KING TON SALES__ RAW DATA'!$A$2:$A$271,'KING TON SALES__ RAW DATA'!$G$2:$G$271)</f>
        <v>15000</v>
      </c>
      <c r="I41">
        <v>23</v>
      </c>
      <c r="J41" s="6">
        <f>_xlfn.XLOOKUP(E41,'KING TON SALES__ RAW DATA'!$A$2:$A$271,'KING TON SALES__ RAW DATA'!$I$2:$I$271)</f>
        <v>20000</v>
      </c>
      <c r="K41" s="6">
        <f t="shared" si="0"/>
        <v>345000</v>
      </c>
      <c r="L41" s="6">
        <f t="shared" si="1"/>
        <v>460000</v>
      </c>
      <c r="M41" s="6">
        <f t="shared" si="2"/>
        <v>115000</v>
      </c>
      <c r="N41" t="str">
        <f>_xlfn.XLOOKUP(E41,'KING TON SALES__ RAW DATA'!$A$2:$A$271,'KING TON SALES__ RAW DATA'!$M$2:$M$271)</f>
        <v>TRANSFER</v>
      </c>
    </row>
    <row r="42" spans="1:14">
      <c r="A42" s="7">
        <v>6703</v>
      </c>
      <c r="B42" s="8">
        <v>46240</v>
      </c>
      <c r="C42" t="s">
        <v>43</v>
      </c>
      <c r="D42" t="s">
        <v>18</v>
      </c>
      <c r="E42" t="s">
        <v>73</v>
      </c>
      <c r="F42" t="str">
        <f>_xlfn.XLOOKUP(E42,'KING TON SALES__ RAW DATA'!$A$2:$A$271,'KING TON SALES__ RAW DATA'!$B$2:$B$271)</f>
        <v>BLUE 4K HDMI (1.5m) WIRE</v>
      </c>
      <c r="G42" t="str">
        <f>_xlfn.XLOOKUP(E42,'KING TON SALES__ RAW DATA'!$A$2:$A$271,'KING TON SALES__ RAW DATA'!$D$2:$D$271)</f>
        <v>WIRE</v>
      </c>
      <c r="H42" s="6">
        <f>_xlfn.XLOOKUP(E42,'KING TON SALES__ RAW DATA'!$A$2:$A$271,'KING TON SALES__ RAW DATA'!$G$2:$G$271)</f>
        <v>1500</v>
      </c>
      <c r="I42">
        <v>22</v>
      </c>
      <c r="J42" s="6">
        <f>_xlfn.XLOOKUP(E42,'KING TON SALES__ RAW DATA'!$A$2:$A$271,'KING TON SALES__ RAW DATA'!$I$2:$I$271)</f>
        <v>3000</v>
      </c>
      <c r="K42" s="6">
        <f t="shared" si="0"/>
        <v>33000</v>
      </c>
      <c r="L42" s="6">
        <f t="shared" si="1"/>
        <v>66000</v>
      </c>
      <c r="M42" s="6">
        <f t="shared" si="2"/>
        <v>33000</v>
      </c>
      <c r="N42" t="str">
        <f>_xlfn.XLOOKUP(E42,'KING TON SALES__ RAW DATA'!$A$2:$A$271,'KING TON SALES__ RAW DATA'!$M$2:$M$271)</f>
        <v>CASH</v>
      </c>
    </row>
    <row r="43" spans="1:14">
      <c r="A43" s="7">
        <v>6704</v>
      </c>
      <c r="B43" s="8">
        <v>46260</v>
      </c>
      <c r="C43" t="s">
        <v>33</v>
      </c>
      <c r="D43" t="s">
        <v>23</v>
      </c>
      <c r="E43" t="s">
        <v>31</v>
      </c>
      <c r="F43" t="str">
        <f>_xlfn.XLOOKUP(E43,'KING TON SALES__ RAW DATA'!$A$2:$A$271,'KING TON SALES__ RAW DATA'!$B$2:$B$271)</f>
        <v>AUX TO JACK (1.5m) WIRE</v>
      </c>
      <c r="G43" t="str">
        <f>_xlfn.XLOOKUP(E43,'KING TON SALES__ RAW DATA'!$A$2:$A$271,'KING TON SALES__ RAW DATA'!$D$2:$D$271)</f>
        <v>WIRE</v>
      </c>
      <c r="H43" s="6">
        <f>_xlfn.XLOOKUP(E43,'KING TON SALES__ RAW DATA'!$A$2:$A$271,'KING TON SALES__ RAW DATA'!$G$2:$G$271)</f>
        <v>600</v>
      </c>
      <c r="I43">
        <v>24</v>
      </c>
      <c r="J43" s="6">
        <f>_xlfn.XLOOKUP(E43,'KING TON SALES__ RAW DATA'!$A$2:$A$271,'KING TON SALES__ RAW DATA'!$I$2:$I$271)</f>
        <v>1000</v>
      </c>
      <c r="K43" s="6">
        <f t="shared" si="0"/>
        <v>14400</v>
      </c>
      <c r="L43" s="6">
        <f t="shared" si="1"/>
        <v>24000</v>
      </c>
      <c r="M43" s="6">
        <f t="shared" si="2"/>
        <v>9600</v>
      </c>
      <c r="N43" t="str">
        <f>_xlfn.XLOOKUP(E43,'KING TON SALES__ RAW DATA'!$A$2:$A$271,'KING TON SALES__ RAW DATA'!$M$2:$M$271)</f>
        <v>TRANSFER</v>
      </c>
    </row>
    <row r="44" spans="1:14">
      <c r="A44" s="7">
        <v>6705</v>
      </c>
      <c r="B44" s="8">
        <v>46243</v>
      </c>
      <c r="C44" t="s">
        <v>19</v>
      </c>
      <c r="D44" t="s">
        <v>18</v>
      </c>
      <c r="E44" t="s">
        <v>138</v>
      </c>
      <c r="F44" t="str">
        <f>_xlfn.XLOOKUP(E44,'KING TON SALES__ RAW DATA'!$A$2:$A$271,'KING TON SALES__ RAW DATA'!$B$2:$B$271)</f>
        <v>MULTI (APC) EXTENTION 6 MOUTH</v>
      </c>
      <c r="G44" t="str">
        <f>_xlfn.XLOOKUP(E44,'KING TON SALES__ RAW DATA'!$A$2:$A$271,'KING TON SALES__ RAW DATA'!$D$2:$D$271)</f>
        <v>ELECTRICAL</v>
      </c>
      <c r="H44" s="6">
        <f>_xlfn.XLOOKUP(E44,'KING TON SALES__ RAW DATA'!$A$2:$A$271,'KING TON SALES__ RAW DATA'!$G$2:$G$271)</f>
        <v>7000</v>
      </c>
      <c r="I44">
        <v>21</v>
      </c>
      <c r="J44" s="6">
        <f>_xlfn.XLOOKUP(E44,'KING TON SALES__ RAW DATA'!$A$2:$A$271,'KING TON SALES__ RAW DATA'!$I$2:$I$271)</f>
        <v>12000</v>
      </c>
      <c r="K44" s="6">
        <f t="shared" si="0"/>
        <v>147000</v>
      </c>
      <c r="L44" s="6">
        <f t="shared" si="1"/>
        <v>252000</v>
      </c>
      <c r="M44" s="6">
        <f t="shared" si="2"/>
        <v>105000</v>
      </c>
      <c r="N44" t="str">
        <f>_xlfn.XLOOKUP(E44,'KING TON SALES__ RAW DATA'!$A$2:$A$271,'KING TON SALES__ RAW DATA'!$M$2:$M$271)</f>
        <v>CASH</v>
      </c>
    </row>
    <row r="45" spans="1:14">
      <c r="A45" s="7">
        <v>6706</v>
      </c>
      <c r="B45" s="8">
        <v>46237</v>
      </c>
      <c r="C45" t="s">
        <v>36</v>
      </c>
      <c r="D45" t="s">
        <v>23</v>
      </c>
      <c r="E45" t="s">
        <v>71</v>
      </c>
      <c r="F45" t="str">
        <f>_xlfn.XLOOKUP(E45,'KING TON SALES__ RAW DATA'!$A$2:$A$271,'KING TON SALES__ RAW DATA'!$B$2:$B$271)</f>
        <v>4K HDMI (100m) WIRE</v>
      </c>
      <c r="G45" t="str">
        <f>_xlfn.XLOOKUP(E45,'KING TON SALES__ RAW DATA'!$A$2:$A$271,'KING TON SALES__ RAW DATA'!$D$2:$D$271)</f>
        <v>WIRE</v>
      </c>
      <c r="H45" s="6">
        <f>_xlfn.XLOOKUP(E45,'KING TON SALES__ RAW DATA'!$A$2:$A$271,'KING TON SALES__ RAW DATA'!$G$2:$G$271)</f>
        <v>60000</v>
      </c>
      <c r="I45">
        <v>22</v>
      </c>
      <c r="J45" s="6">
        <f>_xlfn.XLOOKUP(E45,'KING TON SALES__ RAW DATA'!$A$2:$A$271,'KING TON SALES__ RAW DATA'!$I$2:$I$271)</f>
        <v>100000</v>
      </c>
      <c r="K45" s="6">
        <f t="shared" si="0"/>
        <v>1320000</v>
      </c>
      <c r="L45" s="6">
        <f t="shared" si="1"/>
        <v>2200000</v>
      </c>
      <c r="M45" s="6">
        <f t="shared" si="2"/>
        <v>880000</v>
      </c>
      <c r="N45" t="str">
        <f>_xlfn.XLOOKUP(E45,'KING TON SALES__ RAW DATA'!$A$2:$A$271,'KING TON SALES__ RAW DATA'!$M$2:$M$271)</f>
        <v>POS</v>
      </c>
    </row>
    <row r="46" spans="1:14">
      <c r="A46" s="7">
        <v>6707</v>
      </c>
      <c r="B46" s="8">
        <v>46230</v>
      </c>
      <c r="C46" t="s">
        <v>19</v>
      </c>
      <c r="D46" t="s">
        <v>23</v>
      </c>
      <c r="E46" t="s">
        <v>122</v>
      </c>
      <c r="F46" t="str">
        <f>_xlfn.XLOOKUP(E46,'KING TON SALES__ RAW DATA'!$A$2:$A$271,'KING TON SALES__ RAW DATA'!$B$2:$B$271)</f>
        <v>13 AMPS SINGLE SOCKET NEW</v>
      </c>
      <c r="G46" t="str">
        <f>_xlfn.XLOOKUP(E46,'KING TON SALES__ RAW DATA'!$A$2:$A$271,'KING TON SALES__ RAW DATA'!$D$2:$D$271)</f>
        <v>ELECTRICAL</v>
      </c>
      <c r="H46" s="6">
        <f>_xlfn.XLOOKUP(E46,'KING TON SALES__ RAW DATA'!$A$2:$A$271,'KING TON SALES__ RAW DATA'!$G$2:$G$271)</f>
        <v>500</v>
      </c>
      <c r="I46">
        <v>22</v>
      </c>
      <c r="J46" s="6">
        <f>_xlfn.XLOOKUP(E46,'KING TON SALES__ RAW DATA'!$A$2:$A$271,'KING TON SALES__ RAW DATA'!$I$2:$I$271)</f>
        <v>1000</v>
      </c>
      <c r="K46" s="6">
        <f t="shared" si="0"/>
        <v>11000</v>
      </c>
      <c r="L46" s="6">
        <f t="shared" si="1"/>
        <v>22000</v>
      </c>
      <c r="M46" s="6">
        <f t="shared" si="2"/>
        <v>11000</v>
      </c>
      <c r="N46" t="str">
        <f>_xlfn.XLOOKUP(E46,'KING TON SALES__ RAW DATA'!$A$2:$A$271,'KING TON SALES__ RAW DATA'!$M$2:$M$271)</f>
        <v>TRANSFER</v>
      </c>
    </row>
    <row r="47" spans="1:14">
      <c r="A47" s="7">
        <v>6708</v>
      </c>
      <c r="B47" s="8">
        <v>46232</v>
      </c>
      <c r="C47" t="s">
        <v>36</v>
      </c>
      <c r="D47" t="s">
        <v>18</v>
      </c>
      <c r="E47" t="s">
        <v>97</v>
      </c>
      <c r="F47" t="str">
        <f>_xlfn.XLOOKUP(E47,'KING TON SALES__ RAW DATA'!$A$2:$A$271,'KING TON SALES__ RAW DATA'!$B$2:$B$271)</f>
        <v>CAT 6 WIRE</v>
      </c>
      <c r="G47" t="str">
        <f>_xlfn.XLOOKUP(E47,'KING TON SALES__ RAW DATA'!$A$2:$A$271,'KING TON SALES__ RAW DATA'!$D$2:$D$271)</f>
        <v>WIRE</v>
      </c>
      <c r="H47" s="6">
        <f>_xlfn.XLOOKUP(E47,'KING TON SALES__ RAW DATA'!$A$2:$A$271,'KING TON SALES__ RAW DATA'!$G$2:$G$271)</f>
        <v>80000</v>
      </c>
      <c r="I47">
        <v>21</v>
      </c>
      <c r="J47" s="6">
        <f>_xlfn.XLOOKUP(E47,'KING TON SALES__ RAW DATA'!$A$2:$A$271,'KING TON SALES__ RAW DATA'!$I$2:$I$271)</f>
        <v>110000</v>
      </c>
      <c r="K47" s="6">
        <f t="shared" si="0"/>
        <v>1680000</v>
      </c>
      <c r="L47" s="6">
        <f t="shared" si="1"/>
        <v>2310000</v>
      </c>
      <c r="M47" s="6">
        <f t="shared" si="2"/>
        <v>630000</v>
      </c>
      <c r="N47" t="str">
        <f>_xlfn.XLOOKUP(E47,'KING TON SALES__ RAW DATA'!$A$2:$A$271,'KING TON SALES__ RAW DATA'!$M$2:$M$271)</f>
        <v>TRANSFER</v>
      </c>
    </row>
    <row r="48" spans="1:14">
      <c r="A48" s="7">
        <v>6709</v>
      </c>
      <c r="B48" s="8">
        <v>46215</v>
      </c>
      <c r="C48" t="s">
        <v>52</v>
      </c>
      <c r="D48" t="s">
        <v>23</v>
      </c>
      <c r="E48" t="s">
        <v>111</v>
      </c>
      <c r="F48" t="str">
        <f>_xlfn.XLOOKUP(E48,'KING TON SALES__ RAW DATA'!$A$2:$A$271,'KING TON SALES__ RAW DATA'!$B$2:$B$271)</f>
        <v>OPTICAL CABLE (3m)</v>
      </c>
      <c r="G48" t="str">
        <f>_xlfn.XLOOKUP(E48,'KING TON SALES__ RAW DATA'!$A$2:$A$271,'KING TON SALES__ RAW DATA'!$D$2:$D$271)</f>
        <v>WIRE</v>
      </c>
      <c r="H48" s="6">
        <f>_xlfn.XLOOKUP(E48,'KING TON SALES__ RAW DATA'!$A$2:$A$271,'KING TON SALES__ RAW DATA'!$G$2:$G$271)</f>
        <v>2500</v>
      </c>
      <c r="I48">
        <v>17</v>
      </c>
      <c r="J48" s="6">
        <f>_xlfn.XLOOKUP(E48,'KING TON SALES__ RAW DATA'!$A$2:$A$271,'KING TON SALES__ RAW DATA'!$I$2:$I$271)</f>
        <v>5000</v>
      </c>
      <c r="K48" s="6">
        <f t="shared" si="0"/>
        <v>42500</v>
      </c>
      <c r="L48" s="6">
        <f t="shared" si="1"/>
        <v>85000</v>
      </c>
      <c r="M48" s="6">
        <f t="shared" si="2"/>
        <v>42500</v>
      </c>
      <c r="N48" t="str">
        <f>_xlfn.XLOOKUP(E48,'KING TON SALES__ RAW DATA'!$A$2:$A$271,'KING TON SALES__ RAW DATA'!$M$2:$M$271)</f>
        <v>POS</v>
      </c>
    </row>
    <row r="49" spans="1:14">
      <c r="A49" s="7">
        <v>6710</v>
      </c>
      <c r="B49" s="8">
        <v>46238</v>
      </c>
      <c r="C49" t="s">
        <v>19</v>
      </c>
      <c r="D49" t="s">
        <v>18</v>
      </c>
      <c r="E49" t="s">
        <v>156</v>
      </c>
      <c r="F49" t="str">
        <f>_xlfn.XLOOKUP(E49,'KING TON SALES__ RAW DATA'!$A$2:$A$271,'KING TON SALES__ RAW DATA'!$B$2:$B$271)</f>
        <v>POWER PEAK 9v BATTERY</v>
      </c>
      <c r="G49" t="str">
        <f>_xlfn.XLOOKUP(E49,'KING TON SALES__ RAW DATA'!$A$2:$A$271,'KING TON SALES__ RAW DATA'!$D$2:$D$271)</f>
        <v>BATTERY</v>
      </c>
      <c r="H49" s="6">
        <f>_xlfn.XLOOKUP(E49,'KING TON SALES__ RAW DATA'!$A$2:$A$271,'KING TON SALES__ RAW DATA'!$G$2:$G$271)</f>
        <v>250</v>
      </c>
      <c r="I49">
        <v>17</v>
      </c>
      <c r="J49" s="6">
        <f>_xlfn.XLOOKUP(E49,'KING TON SALES__ RAW DATA'!$A$2:$A$271,'KING TON SALES__ RAW DATA'!$I$2:$I$271)</f>
        <v>500</v>
      </c>
      <c r="K49" s="6">
        <f t="shared" si="0"/>
        <v>4250</v>
      </c>
      <c r="L49" s="6">
        <f t="shared" si="1"/>
        <v>8500</v>
      </c>
      <c r="M49" s="6">
        <f t="shared" si="2"/>
        <v>4250</v>
      </c>
      <c r="N49" t="str">
        <f>_xlfn.XLOOKUP(E49,'KING TON SALES__ RAW DATA'!$A$2:$A$271,'KING TON SALES__ RAW DATA'!$M$2:$M$271)</f>
        <v>CASH</v>
      </c>
    </row>
    <row r="50" spans="1:14">
      <c r="A50" s="7">
        <v>6711</v>
      </c>
      <c r="B50" s="8">
        <v>46247</v>
      </c>
      <c r="C50" t="s">
        <v>19</v>
      </c>
      <c r="D50" t="s">
        <v>18</v>
      </c>
      <c r="E50" t="s">
        <v>28</v>
      </c>
      <c r="F50" t="str">
        <f>_xlfn.XLOOKUP(E50,'KING TON SALES__ RAW DATA'!$A$2:$A$271,'KING TON SALES__ RAW DATA'!$B$2:$B$271)</f>
        <v>1 TO 1 AUX (1.5m) WIRE</v>
      </c>
      <c r="G50" t="str">
        <f>_xlfn.XLOOKUP(E50,'KING TON SALES__ RAW DATA'!$A$2:$A$271,'KING TON SALES__ RAW DATA'!$D$2:$D$271)</f>
        <v>WIRE</v>
      </c>
      <c r="H50" s="6">
        <f>_xlfn.XLOOKUP(E50,'KING TON SALES__ RAW DATA'!$A$2:$A$271,'KING TON SALES__ RAW DATA'!$G$2:$G$271)</f>
        <v>500</v>
      </c>
      <c r="I50">
        <v>24</v>
      </c>
      <c r="J50" s="6">
        <f>_xlfn.XLOOKUP(E50,'KING TON SALES__ RAW DATA'!$A$2:$A$271,'KING TON SALES__ RAW DATA'!$I$2:$I$271)</f>
        <v>1000</v>
      </c>
      <c r="K50" s="6">
        <f t="shared" si="0"/>
        <v>12000</v>
      </c>
      <c r="L50" s="6">
        <f t="shared" si="1"/>
        <v>24000</v>
      </c>
      <c r="M50" s="6">
        <f t="shared" si="2"/>
        <v>12000</v>
      </c>
      <c r="N50" t="str">
        <f>_xlfn.XLOOKUP(E50,'KING TON SALES__ RAW DATA'!$A$2:$A$271,'KING TON SALES__ RAW DATA'!$M$2:$M$271)</f>
        <v>TRANSFER</v>
      </c>
    </row>
    <row r="51" spans="1:14">
      <c r="A51" s="7">
        <v>6712</v>
      </c>
      <c r="B51" s="8">
        <v>46225</v>
      </c>
      <c r="C51" t="s">
        <v>19</v>
      </c>
      <c r="D51" t="s">
        <v>23</v>
      </c>
      <c r="E51" t="s">
        <v>122</v>
      </c>
      <c r="F51" t="str">
        <f>_xlfn.XLOOKUP(E51,'KING TON SALES__ RAW DATA'!$A$2:$A$271,'KING TON SALES__ RAW DATA'!$B$2:$B$271)</f>
        <v>13 AMPS SINGLE SOCKET NEW</v>
      </c>
      <c r="G51" t="str">
        <f>_xlfn.XLOOKUP(E51,'KING TON SALES__ RAW DATA'!$A$2:$A$271,'KING TON SALES__ RAW DATA'!$D$2:$D$271)</f>
        <v>ELECTRICAL</v>
      </c>
      <c r="H51" s="6">
        <f>_xlfn.XLOOKUP(E51,'KING TON SALES__ RAW DATA'!$A$2:$A$271,'KING TON SALES__ RAW DATA'!$G$2:$G$271)</f>
        <v>500</v>
      </c>
      <c r="I51">
        <v>22</v>
      </c>
      <c r="J51" s="6">
        <f>_xlfn.XLOOKUP(E51,'KING TON SALES__ RAW DATA'!$A$2:$A$271,'KING TON SALES__ RAW DATA'!$I$2:$I$271)</f>
        <v>1000</v>
      </c>
      <c r="K51" s="6">
        <f t="shared" si="0"/>
        <v>11000</v>
      </c>
      <c r="L51" s="6">
        <f t="shared" si="1"/>
        <v>22000</v>
      </c>
      <c r="M51" s="6">
        <f t="shared" si="2"/>
        <v>11000</v>
      </c>
      <c r="N51" t="str">
        <f>_xlfn.XLOOKUP(E51,'KING TON SALES__ RAW DATA'!$A$2:$A$271,'KING TON SALES__ RAW DATA'!$M$2:$M$271)</f>
        <v>TRANSFER</v>
      </c>
    </row>
    <row r="52" spans="1:14">
      <c r="A52" s="7">
        <v>6713</v>
      </c>
      <c r="B52" s="8">
        <v>46239</v>
      </c>
      <c r="C52" t="s">
        <v>19</v>
      </c>
      <c r="D52" t="s">
        <v>23</v>
      </c>
      <c r="E52" t="s">
        <v>154</v>
      </c>
      <c r="F52" t="str">
        <f>_xlfn.XLOOKUP(E52,'KING TON SALES__ RAW DATA'!$A$2:$A$271,'KING TON SALES__ RAW DATA'!$B$2:$B$271)</f>
        <v>HI/WATT 9v BATTERY</v>
      </c>
      <c r="G52" t="str">
        <f>_xlfn.XLOOKUP(E52,'KING TON SALES__ RAW DATA'!$A$2:$A$271,'KING TON SALES__ RAW DATA'!$D$2:$D$271)</f>
        <v>BATTERY</v>
      </c>
      <c r="H52" s="6">
        <f>_xlfn.XLOOKUP(E52,'KING TON SALES__ RAW DATA'!$A$2:$A$271,'KING TON SALES__ RAW DATA'!$G$2:$G$271)</f>
        <v>250</v>
      </c>
      <c r="I52">
        <v>17</v>
      </c>
      <c r="J52" s="6">
        <f>_xlfn.XLOOKUP(E52,'KING TON SALES__ RAW DATA'!$A$2:$A$271,'KING TON SALES__ RAW DATA'!$I$2:$I$271)</f>
        <v>500</v>
      </c>
      <c r="K52" s="6">
        <f t="shared" si="0"/>
        <v>4250</v>
      </c>
      <c r="L52" s="6">
        <f t="shared" si="1"/>
        <v>8500</v>
      </c>
      <c r="M52" s="6">
        <f t="shared" si="2"/>
        <v>4250</v>
      </c>
      <c r="N52" t="str">
        <f>_xlfn.XLOOKUP(E52,'KING TON SALES__ RAW DATA'!$A$2:$A$271,'KING TON SALES__ RAW DATA'!$M$2:$M$271)</f>
        <v>POS</v>
      </c>
    </row>
    <row r="53" spans="1:14">
      <c r="A53" s="7">
        <v>6714</v>
      </c>
      <c r="B53" s="8">
        <v>46262</v>
      </c>
      <c r="C53" t="s">
        <v>52</v>
      </c>
      <c r="D53" t="s">
        <v>18</v>
      </c>
      <c r="E53" t="s">
        <v>83</v>
      </c>
      <c r="F53" t="str">
        <f>_xlfn.XLOOKUP(E53,'KING TON SALES__ RAW DATA'!$A$2:$A$271,'KING TON SALES__ RAW DATA'!$B$2:$B$271)</f>
        <v>DC TO DC MALE (1.5m) WIRE</v>
      </c>
      <c r="G53" t="str">
        <f>_xlfn.XLOOKUP(E53,'KING TON SALES__ RAW DATA'!$A$2:$A$271,'KING TON SALES__ RAW DATA'!$D$2:$D$271)</f>
        <v>WIRE</v>
      </c>
      <c r="H53" s="6">
        <f>_xlfn.XLOOKUP(E53,'KING TON SALES__ RAW DATA'!$A$2:$A$271,'KING TON SALES__ RAW DATA'!$G$2:$G$271)</f>
        <v>500</v>
      </c>
      <c r="I53">
        <v>22</v>
      </c>
      <c r="J53" s="6">
        <f>_xlfn.XLOOKUP(E53,'KING TON SALES__ RAW DATA'!$A$2:$A$271,'KING TON SALES__ RAW DATA'!$I$2:$I$271)</f>
        <v>1000</v>
      </c>
      <c r="K53" s="6">
        <f t="shared" si="0"/>
        <v>11000</v>
      </c>
      <c r="L53" s="6">
        <f t="shared" si="1"/>
        <v>22000</v>
      </c>
      <c r="M53" s="6">
        <f t="shared" si="2"/>
        <v>11000</v>
      </c>
      <c r="N53" t="str">
        <f>_xlfn.XLOOKUP(E53,'KING TON SALES__ RAW DATA'!$A$2:$A$271,'KING TON SALES__ RAW DATA'!$M$2:$M$271)</f>
        <v>POS</v>
      </c>
    </row>
    <row r="54" spans="1:14">
      <c r="A54" s="7">
        <v>6715</v>
      </c>
      <c r="B54" s="8">
        <v>46245</v>
      </c>
      <c r="C54" t="s">
        <v>19</v>
      </c>
      <c r="D54" t="s">
        <v>18</v>
      </c>
      <c r="E54" t="s">
        <v>15</v>
      </c>
      <c r="F54" t="str">
        <f>_xlfn.XLOOKUP(E54,'KING TON SALES__ RAW DATA'!$A$2:$A$271,'KING TON SALES__ RAW DATA'!$B$2:$B$271)</f>
        <v>3 TO 3 AV (1.5m) WIRE</v>
      </c>
      <c r="G54" t="str">
        <f>_xlfn.XLOOKUP(E54,'KING TON SALES__ RAW DATA'!$A$2:$A$271,'KING TON SALES__ RAW DATA'!$D$2:$D$271)</f>
        <v>WIRE</v>
      </c>
      <c r="H54" s="6">
        <f>_xlfn.XLOOKUP(E54,'KING TON SALES__ RAW DATA'!$A$2:$A$271,'KING TON SALES__ RAW DATA'!$G$2:$G$271)</f>
        <v>600</v>
      </c>
      <c r="I54">
        <v>20</v>
      </c>
      <c r="J54" s="6">
        <f>_xlfn.XLOOKUP(E54,'KING TON SALES__ RAW DATA'!$A$2:$A$271,'KING TON SALES__ RAW DATA'!$I$2:$I$271)</f>
        <v>1500</v>
      </c>
      <c r="K54" s="6">
        <f t="shared" si="0"/>
        <v>12000</v>
      </c>
      <c r="L54" s="6">
        <f t="shared" si="1"/>
        <v>30000</v>
      </c>
      <c r="M54" s="6">
        <f t="shared" si="2"/>
        <v>18000</v>
      </c>
      <c r="N54" t="str">
        <f>_xlfn.XLOOKUP(E54,'KING TON SALES__ RAW DATA'!$A$2:$A$271,'KING TON SALES__ RAW DATA'!$M$2:$M$271)</f>
        <v>POS</v>
      </c>
    </row>
    <row r="55" spans="1:14">
      <c r="A55" s="7">
        <v>6716</v>
      </c>
      <c r="B55" s="8">
        <v>46229</v>
      </c>
      <c r="C55" t="s">
        <v>19</v>
      </c>
      <c r="D55" t="s">
        <v>23</v>
      </c>
      <c r="E55" t="s">
        <v>151</v>
      </c>
      <c r="F55" t="str">
        <f>_xlfn.XLOOKUP(E55,'KING TON SALES__ RAW DATA'!$A$2:$A$271,'KING TON SALES__ RAW DATA'!$B$2:$B$271)</f>
        <v>777 9v BATTERY</v>
      </c>
      <c r="G55" t="str">
        <f>_xlfn.XLOOKUP(E55,'KING TON SALES__ RAW DATA'!$A$2:$A$271,'KING TON SALES__ RAW DATA'!$D$2:$D$271)</f>
        <v>BATTERY</v>
      </c>
      <c r="H55" s="6">
        <f>_xlfn.XLOOKUP(E55,'KING TON SALES__ RAW DATA'!$A$2:$A$271,'KING TON SALES__ RAW DATA'!$G$2:$G$271)</f>
        <v>250</v>
      </c>
      <c r="I55">
        <v>25</v>
      </c>
      <c r="J55" s="6">
        <f>_xlfn.XLOOKUP(E55,'KING TON SALES__ RAW DATA'!$A$2:$A$271,'KING TON SALES__ RAW DATA'!$I$2:$I$271)</f>
        <v>500</v>
      </c>
      <c r="K55" s="6">
        <f t="shared" si="0"/>
        <v>6250</v>
      </c>
      <c r="L55" s="6">
        <f t="shared" si="1"/>
        <v>12500</v>
      </c>
      <c r="M55" s="6">
        <f t="shared" si="2"/>
        <v>6250</v>
      </c>
      <c r="N55" t="str">
        <f>_xlfn.XLOOKUP(E55,'KING TON SALES__ RAW DATA'!$A$2:$A$271,'KING TON SALES__ RAW DATA'!$M$2:$M$271)</f>
        <v>TRANSFER</v>
      </c>
    </row>
    <row r="56" spans="1:14">
      <c r="A56" s="7">
        <v>6717</v>
      </c>
      <c r="B56" s="8">
        <v>46245</v>
      </c>
      <c r="C56" t="s">
        <v>36</v>
      </c>
      <c r="D56" t="s">
        <v>23</v>
      </c>
      <c r="E56" t="s">
        <v>71</v>
      </c>
      <c r="F56" t="str">
        <f>_xlfn.XLOOKUP(E56,'KING TON SALES__ RAW DATA'!$A$2:$A$271,'KING TON SALES__ RAW DATA'!$B$2:$B$271)</f>
        <v>4K HDMI (100m) WIRE</v>
      </c>
      <c r="G56" t="str">
        <f>_xlfn.XLOOKUP(E56,'KING TON SALES__ RAW DATA'!$A$2:$A$271,'KING TON SALES__ RAW DATA'!$D$2:$D$271)</f>
        <v>WIRE</v>
      </c>
      <c r="H56" s="6">
        <f>_xlfn.XLOOKUP(E56,'KING TON SALES__ RAW DATA'!$A$2:$A$271,'KING TON SALES__ RAW DATA'!$G$2:$G$271)</f>
        <v>60000</v>
      </c>
      <c r="I56">
        <v>17</v>
      </c>
      <c r="J56" s="6">
        <f>_xlfn.XLOOKUP(E56,'KING TON SALES__ RAW DATA'!$A$2:$A$271,'KING TON SALES__ RAW DATA'!$I$2:$I$271)</f>
        <v>100000</v>
      </c>
      <c r="K56" s="6">
        <f t="shared" si="0"/>
        <v>1020000</v>
      </c>
      <c r="L56" s="6">
        <f t="shared" si="1"/>
        <v>1700000</v>
      </c>
      <c r="M56" s="6">
        <f t="shared" si="2"/>
        <v>680000</v>
      </c>
      <c r="N56" t="str">
        <f>_xlfn.XLOOKUP(E56,'KING TON SALES__ RAW DATA'!$A$2:$A$271,'KING TON SALES__ RAW DATA'!$M$2:$M$271)</f>
        <v>POS</v>
      </c>
    </row>
    <row r="57" spans="1:14">
      <c r="A57" s="7">
        <v>6718</v>
      </c>
      <c r="B57" s="8">
        <v>46230</v>
      </c>
      <c r="C57" t="s">
        <v>36</v>
      </c>
      <c r="D57" t="s">
        <v>23</v>
      </c>
      <c r="E57" t="s">
        <v>101</v>
      </c>
      <c r="F57" t="str">
        <f>_xlfn.XLOOKUP(E57,'KING TON SALES__ RAW DATA'!$A$2:$A$271,'KING TON SALES__ RAW DATA'!$B$2:$B$271)</f>
        <v>USB TO USB CORD (1.5m)</v>
      </c>
      <c r="G57" t="str">
        <f>_xlfn.XLOOKUP(E57,'KING TON SALES__ RAW DATA'!$A$2:$A$271,'KING TON SALES__ RAW DATA'!$D$2:$D$271)</f>
        <v>WIRE</v>
      </c>
      <c r="H57" s="6">
        <f>_xlfn.XLOOKUP(E57,'KING TON SALES__ RAW DATA'!$A$2:$A$271,'KING TON SALES__ RAW DATA'!$G$2:$G$271)</f>
        <v>2000</v>
      </c>
      <c r="I57">
        <v>21</v>
      </c>
      <c r="J57" s="6">
        <f>_xlfn.XLOOKUP(E57,'KING TON SALES__ RAW DATA'!$A$2:$A$271,'KING TON SALES__ RAW DATA'!$I$2:$I$271)</f>
        <v>4000</v>
      </c>
      <c r="K57" s="6">
        <f t="shared" si="0"/>
        <v>42000</v>
      </c>
      <c r="L57" s="6">
        <f t="shared" si="1"/>
        <v>84000</v>
      </c>
      <c r="M57" s="6">
        <f t="shared" si="2"/>
        <v>42000</v>
      </c>
      <c r="N57" t="str">
        <f>_xlfn.XLOOKUP(E57,'KING TON SALES__ RAW DATA'!$A$2:$A$271,'KING TON SALES__ RAW DATA'!$M$2:$M$271)</f>
        <v>TRANSFER</v>
      </c>
    </row>
    <row r="58" spans="1:14">
      <c r="A58" s="7">
        <v>6719</v>
      </c>
      <c r="B58" s="8">
        <v>46255</v>
      </c>
      <c r="C58" t="s">
        <v>36</v>
      </c>
      <c r="D58" t="s">
        <v>23</v>
      </c>
      <c r="E58" t="s">
        <v>39</v>
      </c>
      <c r="F58" t="str">
        <f>_xlfn.XLOOKUP(E58,'KING TON SALES__ RAW DATA'!$A$2:$A$271,'KING TON SALES__ RAW DATA'!$B$2:$B$271)</f>
        <v>3 TO 3 AV (5m) WIRE</v>
      </c>
      <c r="G58" t="str">
        <f>_xlfn.XLOOKUP(E58,'KING TON SALES__ RAW DATA'!$A$2:$A$271,'KING TON SALES__ RAW DATA'!$D$2:$D$271)</f>
        <v>WIRE</v>
      </c>
      <c r="H58" s="6">
        <f>_xlfn.XLOOKUP(E58,'KING TON SALES__ RAW DATA'!$A$2:$A$271,'KING TON SALES__ RAW DATA'!$G$2:$G$271)</f>
        <v>1200</v>
      </c>
      <c r="I58">
        <v>20</v>
      </c>
      <c r="J58" s="6">
        <f>_xlfn.XLOOKUP(E58,'KING TON SALES__ RAW DATA'!$A$2:$A$271,'KING TON SALES__ RAW DATA'!$I$2:$I$271)</f>
        <v>2500</v>
      </c>
      <c r="K58" s="6">
        <f t="shared" si="0"/>
        <v>24000</v>
      </c>
      <c r="L58" s="6">
        <f t="shared" si="1"/>
        <v>50000</v>
      </c>
      <c r="M58" s="6">
        <f t="shared" si="2"/>
        <v>26000</v>
      </c>
      <c r="N58" t="str">
        <f>_xlfn.XLOOKUP(E58,'KING TON SALES__ RAW DATA'!$A$2:$A$271,'KING TON SALES__ RAW DATA'!$M$2:$M$271)</f>
        <v>POS</v>
      </c>
    </row>
    <row r="59" spans="1:14">
      <c r="A59" s="7">
        <v>6720</v>
      </c>
      <c r="B59" s="8">
        <v>46217</v>
      </c>
      <c r="C59" t="s">
        <v>19</v>
      </c>
      <c r="D59" t="s">
        <v>23</v>
      </c>
      <c r="E59" t="s">
        <v>91</v>
      </c>
      <c r="F59" t="str">
        <f>_xlfn.XLOOKUP(E59,'KING TON SALES__ RAW DATA'!$A$2:$A$271,'KING TON SALES__ RAW DATA'!$B$2:$B$271)</f>
        <v>SNAKE (Tiny) WIRE</v>
      </c>
      <c r="G59" t="str">
        <f>_xlfn.XLOOKUP(E59,'KING TON SALES__ RAW DATA'!$A$2:$A$271,'KING TON SALES__ RAW DATA'!$D$2:$D$271)</f>
        <v>WIRE</v>
      </c>
      <c r="H59" s="6">
        <f>_xlfn.XLOOKUP(E59,'KING TON SALES__ RAW DATA'!$A$2:$A$271,'KING TON SALES__ RAW DATA'!$G$2:$G$271)</f>
        <v>20000</v>
      </c>
      <c r="I59">
        <v>23</v>
      </c>
      <c r="J59" s="6">
        <f>_xlfn.XLOOKUP(E59,'KING TON SALES__ RAW DATA'!$A$2:$A$271,'KING TON SALES__ RAW DATA'!$I$2:$I$271)</f>
        <v>30000</v>
      </c>
      <c r="K59" s="6">
        <f t="shared" si="0"/>
        <v>460000</v>
      </c>
      <c r="L59" s="6">
        <f t="shared" si="1"/>
        <v>690000</v>
      </c>
      <c r="M59" s="6">
        <f t="shared" si="2"/>
        <v>230000</v>
      </c>
      <c r="N59" t="str">
        <f>_xlfn.XLOOKUP(E59,'KING TON SALES__ RAW DATA'!$A$2:$A$271,'KING TON SALES__ RAW DATA'!$M$2:$M$271)</f>
        <v>CASH</v>
      </c>
    </row>
    <row r="60" spans="1:14">
      <c r="A60" s="7">
        <v>6721</v>
      </c>
      <c r="B60" s="8">
        <v>46212</v>
      </c>
      <c r="C60" t="s">
        <v>19</v>
      </c>
      <c r="D60" t="s">
        <v>18</v>
      </c>
      <c r="E60" t="s">
        <v>77</v>
      </c>
      <c r="F60" t="str">
        <f>_xlfn.XLOOKUP(E60,'KING TON SALES__ RAW DATA'!$A$2:$A$271,'KING TON SALES__ RAW DATA'!$B$2:$B$271)</f>
        <v>BLUE 4K HDMI (5m) WIRE</v>
      </c>
      <c r="G60" t="str">
        <f>_xlfn.XLOOKUP(E60,'KING TON SALES__ RAW DATA'!$A$2:$A$271,'KING TON SALES__ RAW DATA'!$D$2:$D$271)</f>
        <v>WIRE</v>
      </c>
      <c r="H60" s="6">
        <f>_xlfn.XLOOKUP(E60,'KING TON SALES__ RAW DATA'!$A$2:$A$271,'KING TON SALES__ RAW DATA'!$G$2:$G$271)</f>
        <v>3500</v>
      </c>
      <c r="I60">
        <v>17</v>
      </c>
      <c r="J60" s="6">
        <f>_xlfn.XLOOKUP(E60,'KING TON SALES__ RAW DATA'!$A$2:$A$271,'KING TON SALES__ RAW DATA'!$I$2:$I$271)</f>
        <v>8000</v>
      </c>
      <c r="K60" s="6">
        <f t="shared" si="0"/>
        <v>59500</v>
      </c>
      <c r="L60" s="6">
        <f t="shared" si="1"/>
        <v>136000</v>
      </c>
      <c r="M60" s="6">
        <f t="shared" si="2"/>
        <v>76500</v>
      </c>
      <c r="N60" t="str">
        <f>_xlfn.XLOOKUP(E60,'KING TON SALES__ RAW DATA'!$A$2:$A$271,'KING TON SALES__ RAW DATA'!$M$2:$M$271)</f>
        <v>TRANSFER</v>
      </c>
    </row>
    <row r="61" spans="1:14">
      <c r="A61" s="7">
        <v>6722</v>
      </c>
      <c r="B61" s="8">
        <v>46217</v>
      </c>
      <c r="C61" t="s">
        <v>19</v>
      </c>
      <c r="D61" t="s">
        <v>23</v>
      </c>
      <c r="E61" t="s">
        <v>154</v>
      </c>
      <c r="F61" t="str">
        <f>_xlfn.XLOOKUP(E61,'KING TON SALES__ RAW DATA'!$A$2:$A$271,'KING TON SALES__ RAW DATA'!$B$2:$B$271)</f>
        <v>HI/WATT 9v BATTERY</v>
      </c>
      <c r="G61" t="str">
        <f>_xlfn.XLOOKUP(E61,'KING TON SALES__ RAW DATA'!$A$2:$A$271,'KING TON SALES__ RAW DATA'!$D$2:$D$271)</f>
        <v>BATTERY</v>
      </c>
      <c r="H61" s="6">
        <f>_xlfn.XLOOKUP(E61,'KING TON SALES__ RAW DATA'!$A$2:$A$271,'KING TON SALES__ RAW DATA'!$G$2:$G$271)</f>
        <v>250</v>
      </c>
      <c r="I61">
        <v>23</v>
      </c>
      <c r="J61" s="6">
        <f>_xlfn.XLOOKUP(E61,'KING TON SALES__ RAW DATA'!$A$2:$A$271,'KING TON SALES__ RAW DATA'!$I$2:$I$271)</f>
        <v>500</v>
      </c>
      <c r="K61" s="6">
        <f t="shared" si="0"/>
        <v>5750</v>
      </c>
      <c r="L61" s="6">
        <f t="shared" si="1"/>
        <v>11500</v>
      </c>
      <c r="M61" s="6">
        <f t="shared" si="2"/>
        <v>5750</v>
      </c>
      <c r="N61" t="str">
        <f>_xlfn.XLOOKUP(E61,'KING TON SALES__ RAW DATA'!$A$2:$A$271,'KING TON SALES__ RAW DATA'!$M$2:$M$271)</f>
        <v>POS</v>
      </c>
    </row>
    <row r="62" spans="1:14">
      <c r="A62" s="7">
        <v>6723</v>
      </c>
      <c r="B62" s="8">
        <v>46220</v>
      </c>
      <c r="C62" t="s">
        <v>36</v>
      </c>
      <c r="D62" t="s">
        <v>18</v>
      </c>
      <c r="E62" t="s">
        <v>67</v>
      </c>
      <c r="F62" t="str">
        <f>_xlfn.XLOOKUP(E62,'KING TON SALES__ RAW DATA'!$A$2:$A$271,'KING TON SALES__ RAW DATA'!$B$2:$B$271)</f>
        <v>4K HDMI (20m) WIRE</v>
      </c>
      <c r="G62" t="str">
        <f>_xlfn.XLOOKUP(E62,'KING TON SALES__ RAW DATA'!$A$2:$A$271,'KING TON SALES__ RAW DATA'!$D$2:$D$271)</f>
        <v>WIRE</v>
      </c>
      <c r="H62" s="6">
        <f>_xlfn.XLOOKUP(E62,'KING TON SALES__ RAW DATA'!$A$2:$A$271,'KING TON SALES__ RAW DATA'!$G$2:$G$271)</f>
        <v>20000</v>
      </c>
      <c r="I62">
        <v>22</v>
      </c>
      <c r="J62" s="6">
        <f>_xlfn.XLOOKUP(E62,'KING TON SALES__ RAW DATA'!$A$2:$A$271,'KING TON SALES__ RAW DATA'!$I$2:$I$271)</f>
        <v>25000</v>
      </c>
      <c r="K62" s="6">
        <f t="shared" si="0"/>
        <v>440000</v>
      </c>
      <c r="L62" s="6">
        <f t="shared" si="1"/>
        <v>550000</v>
      </c>
      <c r="M62" s="6">
        <f t="shared" si="2"/>
        <v>110000</v>
      </c>
      <c r="N62" t="str">
        <f>_xlfn.XLOOKUP(E62,'KING TON SALES__ RAW DATA'!$A$2:$A$271,'KING TON SALES__ RAW DATA'!$M$2:$M$271)</f>
        <v>POS</v>
      </c>
    </row>
    <row r="63" spans="1:14">
      <c r="A63" s="7">
        <v>6724</v>
      </c>
      <c r="B63" s="8">
        <v>46241</v>
      </c>
      <c r="C63" t="s">
        <v>19</v>
      </c>
      <c r="D63" t="s">
        <v>23</v>
      </c>
      <c r="E63" t="s">
        <v>116</v>
      </c>
      <c r="F63" t="str">
        <f>_xlfn.XLOOKUP(E63,'KING TON SALES__ RAW DATA'!$A$2:$A$271,'KING TON SALES__ RAW DATA'!$B$2:$B$271)</f>
        <v>15 AMPS PLUG HEAD BENJOR</v>
      </c>
      <c r="G63" t="str">
        <f>_xlfn.XLOOKUP(E63,'KING TON SALES__ RAW DATA'!$A$2:$A$271,'KING TON SALES__ RAW DATA'!$D$2:$D$271)</f>
        <v>ELECTRICAL</v>
      </c>
      <c r="H63" s="6">
        <f>_xlfn.XLOOKUP(E63,'KING TON SALES__ RAW DATA'!$A$2:$A$271,'KING TON SALES__ RAW DATA'!$G$2:$G$271)</f>
        <v>800</v>
      </c>
      <c r="I63">
        <v>22</v>
      </c>
      <c r="J63" s="6">
        <f>_xlfn.XLOOKUP(E63,'KING TON SALES__ RAW DATA'!$A$2:$A$271,'KING TON SALES__ RAW DATA'!$I$2:$I$271)</f>
        <v>1500</v>
      </c>
      <c r="K63" s="6">
        <f t="shared" si="0"/>
        <v>17600</v>
      </c>
      <c r="L63" s="6">
        <f t="shared" si="1"/>
        <v>33000</v>
      </c>
      <c r="M63" s="6">
        <f t="shared" si="2"/>
        <v>15400</v>
      </c>
      <c r="N63" t="str">
        <f>_xlfn.XLOOKUP(E63,'KING TON SALES__ RAW DATA'!$A$2:$A$271,'KING TON SALES__ RAW DATA'!$M$2:$M$271)</f>
        <v>POS</v>
      </c>
    </row>
    <row r="64" spans="1:14">
      <c r="A64" s="7">
        <v>6725</v>
      </c>
      <c r="B64" s="8">
        <v>46224</v>
      </c>
      <c r="C64" t="s">
        <v>19</v>
      </c>
      <c r="D64" t="s">
        <v>23</v>
      </c>
      <c r="E64" t="s">
        <v>154</v>
      </c>
      <c r="F64" t="str">
        <f>_xlfn.XLOOKUP(E64,'KING TON SALES__ RAW DATA'!$A$2:$A$271,'KING TON SALES__ RAW DATA'!$B$2:$B$271)</f>
        <v>HI/WATT 9v BATTERY</v>
      </c>
      <c r="G64" t="str">
        <f>_xlfn.XLOOKUP(E64,'KING TON SALES__ RAW DATA'!$A$2:$A$271,'KING TON SALES__ RAW DATA'!$D$2:$D$271)</f>
        <v>BATTERY</v>
      </c>
      <c r="H64" s="6">
        <f>_xlfn.XLOOKUP(E64,'KING TON SALES__ RAW DATA'!$A$2:$A$271,'KING TON SALES__ RAW DATA'!$G$2:$G$271)</f>
        <v>250</v>
      </c>
      <c r="I64">
        <v>18</v>
      </c>
      <c r="J64" s="6">
        <f>_xlfn.XLOOKUP(E64,'KING TON SALES__ RAW DATA'!$A$2:$A$271,'KING TON SALES__ RAW DATA'!$I$2:$I$271)</f>
        <v>500</v>
      </c>
      <c r="K64" s="6">
        <f t="shared" si="0"/>
        <v>4500</v>
      </c>
      <c r="L64" s="6">
        <f t="shared" si="1"/>
        <v>9000</v>
      </c>
      <c r="M64" s="6">
        <f t="shared" si="2"/>
        <v>4500</v>
      </c>
      <c r="N64" t="str">
        <f>_xlfn.XLOOKUP(E64,'KING TON SALES__ RAW DATA'!$A$2:$A$271,'KING TON SALES__ RAW DATA'!$M$2:$M$271)</f>
        <v>POS</v>
      </c>
    </row>
    <row r="65" spans="1:14">
      <c r="A65" s="7">
        <v>6726</v>
      </c>
      <c r="B65" s="8">
        <v>46263</v>
      </c>
      <c r="C65" t="s">
        <v>33</v>
      </c>
      <c r="D65" t="s">
        <v>23</v>
      </c>
      <c r="E65" t="s">
        <v>65</v>
      </c>
      <c r="F65" t="str">
        <f>_xlfn.XLOOKUP(E65,'KING TON SALES__ RAW DATA'!$A$2:$A$271,'KING TON SALES__ RAW DATA'!$B$2:$B$271)</f>
        <v>4K HDMI (10m) WIRE</v>
      </c>
      <c r="G65" t="str">
        <f>_xlfn.XLOOKUP(E65,'KING TON SALES__ RAW DATA'!$A$2:$A$271,'KING TON SALES__ RAW DATA'!$D$2:$D$271)</f>
        <v>WIRE</v>
      </c>
      <c r="H65" s="6">
        <f>_xlfn.XLOOKUP(E65,'KING TON SALES__ RAW DATA'!$A$2:$A$271,'KING TON SALES__ RAW DATA'!$G$2:$G$271)</f>
        <v>5000</v>
      </c>
      <c r="I65">
        <v>24</v>
      </c>
      <c r="J65" s="6">
        <f>_xlfn.XLOOKUP(E65,'KING TON SALES__ RAW DATA'!$A$2:$A$271,'KING TON SALES__ RAW DATA'!$I$2:$I$271)</f>
        <v>15000</v>
      </c>
      <c r="K65" s="6">
        <f t="shared" si="0"/>
        <v>120000</v>
      </c>
      <c r="L65" s="6">
        <f t="shared" si="1"/>
        <v>360000</v>
      </c>
      <c r="M65" s="6">
        <f t="shared" si="2"/>
        <v>240000</v>
      </c>
      <c r="N65" t="str">
        <f>_xlfn.XLOOKUP(E65,'KING TON SALES__ RAW DATA'!$A$2:$A$271,'KING TON SALES__ RAW DATA'!$M$2:$M$271)</f>
        <v>CASH</v>
      </c>
    </row>
    <row r="66" spans="1:14">
      <c r="A66" s="7">
        <v>6727</v>
      </c>
      <c r="B66" s="8">
        <v>46256</v>
      </c>
      <c r="C66" t="s">
        <v>19</v>
      </c>
      <c r="D66" t="s">
        <v>18</v>
      </c>
      <c r="E66" t="s">
        <v>46</v>
      </c>
      <c r="F66" t="str">
        <f>_xlfn.XLOOKUP(E66,'KING TON SALES__ RAW DATA'!$A$2:$A$271,'KING TON SALES__ RAW DATA'!$B$2:$B$271)</f>
        <v>HDMI (1.5m) WIRE</v>
      </c>
      <c r="G66" t="str">
        <f>_xlfn.XLOOKUP(E66,'KING TON SALES__ RAW DATA'!$A$2:$A$271,'KING TON SALES__ RAW DATA'!$D$2:$D$271)</f>
        <v>WIRE</v>
      </c>
      <c r="H66" s="6">
        <f>_xlfn.XLOOKUP(E66,'KING TON SALES__ RAW DATA'!$A$2:$A$271,'KING TON SALES__ RAW DATA'!$G$2:$G$271)</f>
        <v>600</v>
      </c>
      <c r="I66">
        <v>20</v>
      </c>
      <c r="J66" s="6">
        <f>_xlfn.XLOOKUP(E66,'KING TON SALES__ RAW DATA'!$A$2:$A$271,'KING TON SALES__ RAW DATA'!$I$2:$I$271)</f>
        <v>1000</v>
      </c>
      <c r="K66" s="6">
        <f t="shared" si="0"/>
        <v>12000</v>
      </c>
      <c r="L66" s="6">
        <f t="shared" si="1"/>
        <v>20000</v>
      </c>
      <c r="M66" s="6">
        <f t="shared" si="2"/>
        <v>8000</v>
      </c>
      <c r="N66" t="str">
        <f>_xlfn.XLOOKUP(E66,'KING TON SALES__ RAW DATA'!$A$2:$A$271,'KING TON SALES__ RAW DATA'!$M$2:$M$271)</f>
        <v>CASH</v>
      </c>
    </row>
    <row r="67" spans="1:14">
      <c r="A67" s="7">
        <v>6728</v>
      </c>
      <c r="B67" s="8">
        <v>46206</v>
      </c>
      <c r="C67" t="s">
        <v>36</v>
      </c>
      <c r="D67" t="s">
        <v>18</v>
      </c>
      <c r="E67" t="s">
        <v>34</v>
      </c>
      <c r="F67" t="str">
        <f>_xlfn.XLOOKUP(E67,'KING TON SALES__ RAW DATA'!$A$2:$A$271,'KING TON SALES__ RAW DATA'!$B$2:$B$271)</f>
        <v>JACK TO JACK (1.5m) WIRE</v>
      </c>
      <c r="G67" t="str">
        <f>_xlfn.XLOOKUP(E67,'KING TON SALES__ RAW DATA'!$A$2:$A$271,'KING TON SALES__ RAW DATA'!$D$2:$D$271)</f>
        <v>WIRE</v>
      </c>
      <c r="H67" s="6">
        <f>_xlfn.XLOOKUP(E67,'KING TON SALES__ RAW DATA'!$A$2:$A$271,'KING TON SALES__ RAW DATA'!$G$2:$G$271)</f>
        <v>600</v>
      </c>
      <c r="I67">
        <v>23</v>
      </c>
      <c r="J67" s="6">
        <f>_xlfn.XLOOKUP(E67,'KING TON SALES__ RAW DATA'!$A$2:$A$271,'KING TON SALES__ RAW DATA'!$I$2:$I$271)</f>
        <v>1500</v>
      </c>
      <c r="K67" s="6">
        <f t="shared" ref="K67:K130" si="3">H67*I67</f>
        <v>13800</v>
      </c>
      <c r="L67" s="6">
        <f t="shared" ref="L67:L130" si="4">J67*I67</f>
        <v>34500</v>
      </c>
      <c r="M67" s="6">
        <f t="shared" ref="M67:M130" si="5">L67-K67</f>
        <v>20700</v>
      </c>
      <c r="N67" t="str">
        <f>_xlfn.XLOOKUP(E67,'KING TON SALES__ RAW DATA'!$A$2:$A$271,'KING TON SALES__ RAW DATA'!$M$2:$M$271)</f>
        <v>POS</v>
      </c>
    </row>
    <row r="68" spans="1:14">
      <c r="A68" s="7">
        <v>6729</v>
      </c>
      <c r="B68" s="8">
        <v>46209</v>
      </c>
      <c r="C68" t="s">
        <v>19</v>
      </c>
      <c r="D68" t="s">
        <v>18</v>
      </c>
      <c r="E68" t="s">
        <v>156</v>
      </c>
      <c r="F68" t="str">
        <f>_xlfn.XLOOKUP(E68,'KING TON SALES__ RAW DATA'!$A$2:$A$271,'KING TON SALES__ RAW DATA'!$B$2:$B$271)</f>
        <v>POWER PEAK 9v BATTERY</v>
      </c>
      <c r="G68" t="str">
        <f>_xlfn.XLOOKUP(E68,'KING TON SALES__ RAW DATA'!$A$2:$A$271,'KING TON SALES__ RAW DATA'!$D$2:$D$271)</f>
        <v>BATTERY</v>
      </c>
      <c r="H68" s="6">
        <f>_xlfn.XLOOKUP(E68,'KING TON SALES__ RAW DATA'!$A$2:$A$271,'KING TON SALES__ RAW DATA'!$G$2:$G$271)</f>
        <v>250</v>
      </c>
      <c r="I68">
        <v>18</v>
      </c>
      <c r="J68" s="6">
        <f>_xlfn.XLOOKUP(E68,'KING TON SALES__ RAW DATA'!$A$2:$A$271,'KING TON SALES__ RAW DATA'!$I$2:$I$271)</f>
        <v>500</v>
      </c>
      <c r="K68" s="6">
        <f t="shared" si="3"/>
        <v>4500</v>
      </c>
      <c r="L68" s="6">
        <f t="shared" si="4"/>
        <v>9000</v>
      </c>
      <c r="M68" s="6">
        <f t="shared" si="5"/>
        <v>4500</v>
      </c>
      <c r="N68" t="str">
        <f>_xlfn.XLOOKUP(E68,'KING TON SALES__ RAW DATA'!$A$2:$A$271,'KING TON SALES__ RAW DATA'!$M$2:$M$271)</f>
        <v>CASH</v>
      </c>
    </row>
    <row r="69" spans="1:14">
      <c r="A69" s="7">
        <v>6730</v>
      </c>
      <c r="B69" s="8">
        <v>46205</v>
      </c>
      <c r="C69" t="s">
        <v>43</v>
      </c>
      <c r="D69" t="s">
        <v>23</v>
      </c>
      <c r="E69" t="s">
        <v>105</v>
      </c>
      <c r="F69" t="str">
        <f>_xlfn.XLOOKUP(E69,'KING TON SALES__ RAW DATA'!$A$2:$A$271,'KING TON SALES__ RAW DATA'!$B$2:$B$271)</f>
        <v>USB TO PRINTER CABLE (1.5m)</v>
      </c>
      <c r="G69" t="str">
        <f>_xlfn.XLOOKUP(E69,'KING TON SALES__ RAW DATA'!$A$2:$A$271,'KING TON SALES__ RAW DATA'!$D$2:$D$271)</f>
        <v>WIRE</v>
      </c>
      <c r="H69" s="6">
        <f>_xlfn.XLOOKUP(E69,'KING TON SALES__ RAW DATA'!$A$2:$A$271,'KING TON SALES__ RAW DATA'!$G$2:$G$271)</f>
        <v>2500</v>
      </c>
      <c r="I69">
        <v>21</v>
      </c>
      <c r="J69" s="6">
        <f>_xlfn.XLOOKUP(E69,'KING TON SALES__ RAW DATA'!$A$2:$A$271,'KING TON SALES__ RAW DATA'!$I$2:$I$271)</f>
        <v>5000</v>
      </c>
      <c r="K69" s="6">
        <f t="shared" si="3"/>
        <v>52500</v>
      </c>
      <c r="L69" s="6">
        <f t="shared" si="4"/>
        <v>105000</v>
      </c>
      <c r="M69" s="6">
        <f t="shared" si="5"/>
        <v>52500</v>
      </c>
      <c r="N69" t="str">
        <f>_xlfn.XLOOKUP(E69,'KING TON SALES__ RAW DATA'!$A$2:$A$271,'KING TON SALES__ RAW DATA'!$M$2:$M$271)</f>
        <v>TRANSFER</v>
      </c>
    </row>
    <row r="70" spans="1:14">
      <c r="A70" s="7">
        <v>6731</v>
      </c>
      <c r="B70" s="8">
        <v>46242</v>
      </c>
      <c r="C70" t="s">
        <v>19</v>
      </c>
      <c r="D70" t="s">
        <v>23</v>
      </c>
      <c r="E70" t="s">
        <v>99</v>
      </c>
      <c r="F70" t="str">
        <f>_xlfn.XLOOKUP(E70,'KING TON SALES__ RAW DATA'!$A$2:$A$271,'KING TON SALES__ RAW DATA'!$B$2:$B$271)</f>
        <v>CAT 4 WIRE</v>
      </c>
      <c r="G70" t="str">
        <f>_xlfn.XLOOKUP(E70,'KING TON SALES__ RAW DATA'!$A$2:$A$271,'KING TON SALES__ RAW DATA'!$D$2:$D$271)</f>
        <v>WIRE</v>
      </c>
      <c r="H70" s="6">
        <f>_xlfn.XLOOKUP(E70,'KING TON SALES__ RAW DATA'!$A$2:$A$271,'KING TON SALES__ RAW DATA'!$G$2:$G$271)</f>
        <v>12000</v>
      </c>
      <c r="I70">
        <v>17</v>
      </c>
      <c r="J70" s="6">
        <f>_xlfn.XLOOKUP(E70,'KING TON SALES__ RAW DATA'!$A$2:$A$271,'KING TON SALES__ RAW DATA'!$I$2:$I$271)</f>
        <v>20000</v>
      </c>
      <c r="K70" s="6">
        <f t="shared" si="3"/>
        <v>204000</v>
      </c>
      <c r="L70" s="6">
        <f t="shared" si="4"/>
        <v>340000</v>
      </c>
      <c r="M70" s="6">
        <f t="shared" si="5"/>
        <v>136000</v>
      </c>
      <c r="N70" t="str">
        <f>_xlfn.XLOOKUP(E70,'KING TON SALES__ RAW DATA'!$A$2:$A$271,'KING TON SALES__ RAW DATA'!$M$2:$M$271)</f>
        <v>TRANSFER</v>
      </c>
    </row>
    <row r="71" spans="1:14">
      <c r="A71" s="7">
        <v>6732</v>
      </c>
      <c r="B71" s="8">
        <v>46256</v>
      </c>
      <c r="C71" t="s">
        <v>19</v>
      </c>
      <c r="D71" t="s">
        <v>18</v>
      </c>
      <c r="E71" t="s">
        <v>46</v>
      </c>
      <c r="F71" t="str">
        <f>_xlfn.XLOOKUP(E71,'KING TON SALES__ RAW DATA'!$A$2:$A$271,'KING TON SALES__ RAW DATA'!$B$2:$B$271)</f>
        <v>HDMI (1.5m) WIRE</v>
      </c>
      <c r="G71" t="str">
        <f>_xlfn.XLOOKUP(E71,'KING TON SALES__ RAW DATA'!$A$2:$A$271,'KING TON SALES__ RAW DATA'!$D$2:$D$271)</f>
        <v>WIRE</v>
      </c>
      <c r="H71" s="6">
        <f>_xlfn.XLOOKUP(E71,'KING TON SALES__ RAW DATA'!$A$2:$A$271,'KING TON SALES__ RAW DATA'!$G$2:$G$271)</f>
        <v>600</v>
      </c>
      <c r="I71">
        <v>20</v>
      </c>
      <c r="J71" s="6">
        <f>_xlfn.XLOOKUP(E71,'KING TON SALES__ RAW DATA'!$A$2:$A$271,'KING TON SALES__ RAW DATA'!$I$2:$I$271)</f>
        <v>1000</v>
      </c>
      <c r="K71" s="6">
        <f t="shared" si="3"/>
        <v>12000</v>
      </c>
      <c r="L71" s="6">
        <f t="shared" si="4"/>
        <v>20000</v>
      </c>
      <c r="M71" s="6">
        <f t="shared" si="5"/>
        <v>8000</v>
      </c>
      <c r="N71" t="str">
        <f>_xlfn.XLOOKUP(E71,'KING TON SALES__ RAW DATA'!$A$2:$A$271,'KING TON SALES__ RAW DATA'!$M$2:$M$271)</f>
        <v>CASH</v>
      </c>
    </row>
    <row r="72" spans="1:14">
      <c r="A72" s="7">
        <v>6733</v>
      </c>
      <c r="B72" s="8">
        <v>46263</v>
      </c>
      <c r="C72" t="s">
        <v>43</v>
      </c>
      <c r="D72" t="s">
        <v>23</v>
      </c>
      <c r="E72" t="s">
        <v>105</v>
      </c>
      <c r="F72" t="str">
        <f>_xlfn.XLOOKUP(E72,'KING TON SALES__ RAW DATA'!$A$2:$A$271,'KING TON SALES__ RAW DATA'!$B$2:$B$271)</f>
        <v>USB TO PRINTER CABLE (1.5m)</v>
      </c>
      <c r="G72" t="str">
        <f>_xlfn.XLOOKUP(E72,'KING TON SALES__ RAW DATA'!$A$2:$A$271,'KING TON SALES__ RAW DATA'!$D$2:$D$271)</f>
        <v>WIRE</v>
      </c>
      <c r="H72" s="6">
        <f>_xlfn.XLOOKUP(E72,'KING TON SALES__ RAW DATA'!$A$2:$A$271,'KING TON SALES__ RAW DATA'!$G$2:$G$271)</f>
        <v>2500</v>
      </c>
      <c r="I72">
        <v>19</v>
      </c>
      <c r="J72" s="6">
        <f>_xlfn.XLOOKUP(E72,'KING TON SALES__ RAW DATA'!$A$2:$A$271,'KING TON SALES__ RAW DATA'!$I$2:$I$271)</f>
        <v>5000</v>
      </c>
      <c r="K72" s="6">
        <f t="shared" si="3"/>
        <v>47500</v>
      </c>
      <c r="L72" s="6">
        <f t="shared" si="4"/>
        <v>95000</v>
      </c>
      <c r="M72" s="6">
        <f t="shared" si="5"/>
        <v>47500</v>
      </c>
      <c r="N72" t="str">
        <f>_xlfn.XLOOKUP(E72,'KING TON SALES__ RAW DATA'!$A$2:$A$271,'KING TON SALES__ RAW DATA'!$M$2:$M$271)</f>
        <v>TRANSFER</v>
      </c>
    </row>
    <row r="73" spans="1:14">
      <c r="A73" s="7">
        <v>6734</v>
      </c>
      <c r="B73" s="8">
        <v>46247</v>
      </c>
      <c r="C73" t="s">
        <v>33</v>
      </c>
      <c r="D73" t="s">
        <v>23</v>
      </c>
      <c r="E73" t="s">
        <v>140</v>
      </c>
      <c r="F73" t="str">
        <f>_xlfn.XLOOKUP(E73,'KING TON SALES__ RAW DATA'!$A$2:$A$271,'KING TON SALES__ RAW DATA'!$B$2:$B$271)</f>
        <v>BENJOR EXTENTION 3 MOUTH</v>
      </c>
      <c r="G73" t="str">
        <f>_xlfn.XLOOKUP(E73,'KING TON SALES__ RAW DATA'!$A$2:$A$271,'KING TON SALES__ RAW DATA'!$D$2:$D$271)</f>
        <v>ELECTRICAL</v>
      </c>
      <c r="H73" s="6">
        <f>_xlfn.XLOOKUP(E73,'KING TON SALES__ RAW DATA'!$A$2:$A$271,'KING TON SALES__ RAW DATA'!$G$2:$G$271)</f>
        <v>2000</v>
      </c>
      <c r="I73">
        <v>24</v>
      </c>
      <c r="J73" s="6">
        <f>_xlfn.XLOOKUP(E73,'KING TON SALES__ RAW DATA'!$A$2:$A$271,'KING TON SALES__ RAW DATA'!$I$2:$I$271)</f>
        <v>7000</v>
      </c>
      <c r="K73" s="6">
        <f t="shared" si="3"/>
        <v>48000</v>
      </c>
      <c r="L73" s="6">
        <f t="shared" si="4"/>
        <v>168000</v>
      </c>
      <c r="M73" s="6">
        <f t="shared" si="5"/>
        <v>120000</v>
      </c>
      <c r="N73" t="str">
        <f>_xlfn.XLOOKUP(E73,'KING TON SALES__ RAW DATA'!$A$2:$A$271,'KING TON SALES__ RAW DATA'!$M$2:$M$271)</f>
        <v>CASH</v>
      </c>
    </row>
    <row r="74" spans="1:14">
      <c r="A74" s="7">
        <v>6735</v>
      </c>
      <c r="B74" s="8">
        <v>46248</v>
      </c>
      <c r="C74" t="s">
        <v>19</v>
      </c>
      <c r="D74" t="s">
        <v>23</v>
      </c>
      <c r="E74" t="s">
        <v>151</v>
      </c>
      <c r="F74" t="str">
        <f>_xlfn.XLOOKUP(E74,'KING TON SALES__ RAW DATA'!$A$2:$A$271,'KING TON SALES__ RAW DATA'!$B$2:$B$271)</f>
        <v>777 9v BATTERY</v>
      </c>
      <c r="G74" t="str">
        <f>_xlfn.XLOOKUP(E74,'KING TON SALES__ RAW DATA'!$A$2:$A$271,'KING TON SALES__ RAW DATA'!$D$2:$D$271)</f>
        <v>BATTERY</v>
      </c>
      <c r="H74" s="6">
        <f>_xlfn.XLOOKUP(E74,'KING TON SALES__ RAW DATA'!$A$2:$A$271,'KING TON SALES__ RAW DATA'!$G$2:$G$271)</f>
        <v>250</v>
      </c>
      <c r="I74">
        <v>21</v>
      </c>
      <c r="J74" s="6">
        <f>_xlfn.XLOOKUP(E74,'KING TON SALES__ RAW DATA'!$A$2:$A$271,'KING TON SALES__ RAW DATA'!$I$2:$I$271)</f>
        <v>500</v>
      </c>
      <c r="K74" s="6">
        <f t="shared" si="3"/>
        <v>5250</v>
      </c>
      <c r="L74" s="6">
        <f t="shared" si="4"/>
        <v>10500</v>
      </c>
      <c r="M74" s="6">
        <f t="shared" si="5"/>
        <v>5250</v>
      </c>
      <c r="N74" t="str">
        <f>_xlfn.XLOOKUP(E74,'KING TON SALES__ RAW DATA'!$A$2:$A$271,'KING TON SALES__ RAW DATA'!$M$2:$M$271)</f>
        <v>TRANSFER</v>
      </c>
    </row>
    <row r="75" spans="1:14">
      <c r="A75" s="7">
        <v>6736</v>
      </c>
      <c r="B75" s="8">
        <v>46251</v>
      </c>
      <c r="C75" t="s">
        <v>19</v>
      </c>
      <c r="D75" t="s">
        <v>23</v>
      </c>
      <c r="E75" t="s">
        <v>21</v>
      </c>
      <c r="F75" t="str">
        <f>_xlfn.XLOOKUP(E75,'KING TON SALES__ RAW DATA'!$A$2:$A$271,'KING TON SALES__ RAW DATA'!$B$2:$B$271)</f>
        <v>2 TO 2 AV (1.5m) WIRE</v>
      </c>
      <c r="G75" t="str">
        <f>_xlfn.XLOOKUP(E75,'KING TON SALES__ RAW DATA'!$A$2:$A$271,'KING TON SALES__ RAW DATA'!$D$2:$D$271)</f>
        <v>WIRE</v>
      </c>
      <c r="H75" s="6">
        <f>_xlfn.XLOOKUP(E75,'KING TON SALES__ RAW DATA'!$A$2:$A$271,'KING TON SALES__ RAW DATA'!$G$2:$G$271)</f>
        <v>500</v>
      </c>
      <c r="I75">
        <v>25</v>
      </c>
      <c r="J75" s="6">
        <f>_xlfn.XLOOKUP(E75,'KING TON SALES__ RAW DATA'!$A$2:$A$271,'KING TON SALES__ RAW DATA'!$I$2:$I$271)</f>
        <v>1000</v>
      </c>
      <c r="K75" s="6">
        <f t="shared" si="3"/>
        <v>12500</v>
      </c>
      <c r="L75" s="6">
        <f t="shared" si="4"/>
        <v>25000</v>
      </c>
      <c r="M75" s="6">
        <f t="shared" si="5"/>
        <v>12500</v>
      </c>
      <c r="N75" t="str">
        <f>_xlfn.XLOOKUP(E75,'KING TON SALES__ RAW DATA'!$A$2:$A$271,'KING TON SALES__ RAW DATA'!$M$2:$M$271)</f>
        <v>CASH</v>
      </c>
    </row>
    <row r="76" spans="1:14">
      <c r="A76" s="7">
        <v>6737</v>
      </c>
      <c r="B76" s="8">
        <v>46257</v>
      </c>
      <c r="C76" t="s">
        <v>19</v>
      </c>
      <c r="D76" t="s">
        <v>18</v>
      </c>
      <c r="E76" t="s">
        <v>138</v>
      </c>
      <c r="F76" t="str">
        <f>_xlfn.XLOOKUP(E76,'KING TON SALES__ RAW DATA'!$A$2:$A$271,'KING TON SALES__ RAW DATA'!$B$2:$B$271)</f>
        <v>MULTI (APC) EXTENTION 6 MOUTH</v>
      </c>
      <c r="G76" t="str">
        <f>_xlfn.XLOOKUP(E76,'KING TON SALES__ RAW DATA'!$A$2:$A$271,'KING TON SALES__ RAW DATA'!$D$2:$D$271)</f>
        <v>ELECTRICAL</v>
      </c>
      <c r="H76" s="6">
        <f>_xlfn.XLOOKUP(E76,'KING TON SALES__ RAW DATA'!$A$2:$A$271,'KING TON SALES__ RAW DATA'!$G$2:$G$271)</f>
        <v>7000</v>
      </c>
      <c r="I76">
        <v>21</v>
      </c>
      <c r="J76" s="6">
        <f>_xlfn.XLOOKUP(E76,'KING TON SALES__ RAW DATA'!$A$2:$A$271,'KING TON SALES__ RAW DATA'!$I$2:$I$271)</f>
        <v>12000</v>
      </c>
      <c r="K76" s="6">
        <f t="shared" si="3"/>
        <v>147000</v>
      </c>
      <c r="L76" s="6">
        <f t="shared" si="4"/>
        <v>252000</v>
      </c>
      <c r="M76" s="6">
        <f t="shared" si="5"/>
        <v>105000</v>
      </c>
      <c r="N76" t="str">
        <f>_xlfn.XLOOKUP(E76,'KING TON SALES__ RAW DATA'!$A$2:$A$271,'KING TON SALES__ RAW DATA'!$M$2:$M$271)</f>
        <v>CASH</v>
      </c>
    </row>
    <row r="77" spans="1:14">
      <c r="A77" s="7">
        <v>6738</v>
      </c>
      <c r="B77" s="8">
        <v>46258</v>
      </c>
      <c r="C77" t="s">
        <v>19</v>
      </c>
      <c r="D77" t="s">
        <v>23</v>
      </c>
      <c r="E77" t="s">
        <v>154</v>
      </c>
      <c r="F77" t="str">
        <f>_xlfn.XLOOKUP(E77,'KING TON SALES__ RAW DATA'!$A$2:$A$271,'KING TON SALES__ RAW DATA'!$B$2:$B$271)</f>
        <v>HI/WATT 9v BATTERY</v>
      </c>
      <c r="G77" t="str">
        <f>_xlfn.XLOOKUP(E77,'KING TON SALES__ RAW DATA'!$A$2:$A$271,'KING TON SALES__ RAW DATA'!$D$2:$D$271)</f>
        <v>BATTERY</v>
      </c>
      <c r="H77" s="6">
        <f>_xlfn.XLOOKUP(E77,'KING TON SALES__ RAW DATA'!$A$2:$A$271,'KING TON SALES__ RAW DATA'!$G$2:$G$271)</f>
        <v>250</v>
      </c>
      <c r="I77">
        <v>23</v>
      </c>
      <c r="J77" s="6">
        <f>_xlfn.XLOOKUP(E77,'KING TON SALES__ RAW DATA'!$A$2:$A$271,'KING TON SALES__ RAW DATA'!$I$2:$I$271)</f>
        <v>500</v>
      </c>
      <c r="K77" s="6">
        <f t="shared" si="3"/>
        <v>5750</v>
      </c>
      <c r="L77" s="6">
        <f t="shared" si="4"/>
        <v>11500</v>
      </c>
      <c r="M77" s="6">
        <f t="shared" si="5"/>
        <v>5750</v>
      </c>
      <c r="N77" t="str">
        <f>_xlfn.XLOOKUP(E77,'KING TON SALES__ RAW DATA'!$A$2:$A$271,'KING TON SALES__ RAW DATA'!$M$2:$M$271)</f>
        <v>POS</v>
      </c>
    </row>
    <row r="78" spans="1:14">
      <c r="A78" s="7">
        <v>6739</v>
      </c>
      <c r="B78" s="8">
        <v>46254</v>
      </c>
      <c r="C78" t="s">
        <v>52</v>
      </c>
      <c r="D78" t="s">
        <v>18</v>
      </c>
      <c r="E78" t="s">
        <v>144</v>
      </c>
      <c r="F78" t="str">
        <f>_xlfn.XLOOKUP(E78,'KING TON SALES__ RAW DATA'!$A$2:$A$271,'KING TON SALES__ RAW DATA'!$B$2:$B$271)</f>
        <v>BENJOR EXTENTION 6 MOUTH</v>
      </c>
      <c r="G78" t="str">
        <f>_xlfn.XLOOKUP(E78,'KING TON SALES__ RAW DATA'!$A$2:$A$271,'KING TON SALES__ RAW DATA'!$D$2:$D$271)</f>
        <v>ELECTRICAL</v>
      </c>
      <c r="H78" s="6">
        <f>_xlfn.XLOOKUP(E78,'KING TON SALES__ RAW DATA'!$A$2:$A$271,'KING TON SALES__ RAW DATA'!$G$2:$G$271)</f>
        <v>6000</v>
      </c>
      <c r="I78">
        <v>18</v>
      </c>
      <c r="J78" s="6">
        <f>_xlfn.XLOOKUP(E78,'KING TON SALES__ RAW DATA'!$A$2:$A$271,'KING TON SALES__ RAW DATA'!$I$2:$I$271)</f>
        <v>12000</v>
      </c>
      <c r="K78" s="6">
        <f t="shared" si="3"/>
        <v>108000</v>
      </c>
      <c r="L78" s="6">
        <f t="shared" si="4"/>
        <v>216000</v>
      </c>
      <c r="M78" s="6">
        <f t="shared" si="5"/>
        <v>108000</v>
      </c>
      <c r="N78" t="str">
        <f>_xlfn.XLOOKUP(E78,'KING TON SALES__ RAW DATA'!$A$2:$A$271,'KING TON SALES__ RAW DATA'!$M$2:$M$271)</f>
        <v>TRANSFER</v>
      </c>
    </row>
    <row r="79" spans="1:14">
      <c r="A79" s="7">
        <v>6740</v>
      </c>
      <c r="B79" s="8">
        <v>46224</v>
      </c>
      <c r="C79" t="s">
        <v>43</v>
      </c>
      <c r="D79" t="s">
        <v>18</v>
      </c>
      <c r="E79" t="s">
        <v>41</v>
      </c>
      <c r="F79" t="str">
        <f>_xlfn.XLOOKUP(E79,'KING TON SALES__ RAW DATA'!$A$2:$A$271,'KING TON SALES__ RAW DATA'!$B$2:$B$271)</f>
        <v>3 TO 3 AV (10m) WIRE</v>
      </c>
      <c r="G79" t="str">
        <f>_xlfn.XLOOKUP(E79,'KING TON SALES__ RAW DATA'!$A$2:$A$271,'KING TON SALES__ RAW DATA'!$D$2:$D$271)</f>
        <v>WIRE</v>
      </c>
      <c r="H79" s="6">
        <f>_xlfn.XLOOKUP(E79,'KING TON SALES__ RAW DATA'!$A$2:$A$271,'KING TON SALES__ RAW DATA'!$G$2:$G$271)</f>
        <v>1500</v>
      </c>
      <c r="I79">
        <v>17</v>
      </c>
      <c r="J79" s="6">
        <f>_xlfn.XLOOKUP(E79,'KING TON SALES__ RAW DATA'!$A$2:$A$271,'KING TON SALES__ RAW DATA'!$I$2:$I$271)</f>
        <v>3500</v>
      </c>
      <c r="K79" s="6">
        <f t="shared" si="3"/>
        <v>25500</v>
      </c>
      <c r="L79" s="6">
        <f t="shared" si="4"/>
        <v>59500</v>
      </c>
      <c r="M79" s="6">
        <f t="shared" si="5"/>
        <v>34000</v>
      </c>
      <c r="N79" t="str">
        <f>_xlfn.XLOOKUP(E79,'KING TON SALES__ RAW DATA'!$A$2:$A$271,'KING TON SALES__ RAW DATA'!$M$2:$M$271)</f>
        <v>POS</v>
      </c>
    </row>
    <row r="80" spans="1:14">
      <c r="A80" s="7">
        <v>6741</v>
      </c>
      <c r="B80" s="8">
        <v>46257</v>
      </c>
      <c r="C80" t="s">
        <v>43</v>
      </c>
      <c r="D80" t="s">
        <v>18</v>
      </c>
      <c r="E80" t="s">
        <v>41</v>
      </c>
      <c r="F80" t="str">
        <f>_xlfn.XLOOKUP(E80,'KING TON SALES__ RAW DATA'!$A$2:$A$271,'KING TON SALES__ RAW DATA'!$B$2:$B$271)</f>
        <v>3 TO 3 AV (10m) WIRE</v>
      </c>
      <c r="G80" t="str">
        <f>_xlfn.XLOOKUP(E80,'KING TON SALES__ RAW DATA'!$A$2:$A$271,'KING TON SALES__ RAW DATA'!$D$2:$D$271)</f>
        <v>WIRE</v>
      </c>
      <c r="H80" s="6">
        <f>_xlfn.XLOOKUP(E80,'KING TON SALES__ RAW DATA'!$A$2:$A$271,'KING TON SALES__ RAW DATA'!$G$2:$G$271)</f>
        <v>1500</v>
      </c>
      <c r="I80">
        <v>23</v>
      </c>
      <c r="J80" s="6">
        <f>_xlfn.XLOOKUP(E80,'KING TON SALES__ RAW DATA'!$A$2:$A$271,'KING TON SALES__ RAW DATA'!$I$2:$I$271)</f>
        <v>3500</v>
      </c>
      <c r="K80" s="6">
        <f t="shared" si="3"/>
        <v>34500</v>
      </c>
      <c r="L80" s="6">
        <f t="shared" si="4"/>
        <v>80500</v>
      </c>
      <c r="M80" s="6">
        <f t="shared" si="5"/>
        <v>46000</v>
      </c>
      <c r="N80" t="str">
        <f>_xlfn.XLOOKUP(E80,'KING TON SALES__ RAW DATA'!$A$2:$A$271,'KING TON SALES__ RAW DATA'!$M$2:$M$271)</f>
        <v>POS</v>
      </c>
    </row>
    <row r="81" spans="1:14">
      <c r="A81" s="7">
        <v>6742</v>
      </c>
      <c r="B81" s="8">
        <v>46248</v>
      </c>
      <c r="C81" t="s">
        <v>43</v>
      </c>
      <c r="D81" t="s">
        <v>18</v>
      </c>
      <c r="E81" t="s">
        <v>134</v>
      </c>
      <c r="F81" t="str">
        <f>_xlfn.XLOOKUP(E81,'KING TON SALES__ RAW DATA'!$A$2:$A$271,'KING TON SALES__ RAW DATA'!$B$2:$B$271)</f>
        <v>BENJOR MULTI WITH SWITCH</v>
      </c>
      <c r="G81" t="str">
        <f>_xlfn.XLOOKUP(E81,'KING TON SALES__ RAW DATA'!$A$2:$A$271,'KING TON SALES__ RAW DATA'!$D$2:$D$271)</f>
        <v>ELECTRICAL</v>
      </c>
      <c r="H81" s="6">
        <f>_xlfn.XLOOKUP(E81,'KING TON SALES__ RAW DATA'!$A$2:$A$271,'KING TON SALES__ RAW DATA'!$G$2:$G$271)</f>
        <v>1000</v>
      </c>
      <c r="I81">
        <v>19</v>
      </c>
      <c r="J81" s="6">
        <f>_xlfn.XLOOKUP(E81,'KING TON SALES__ RAW DATA'!$A$2:$A$271,'KING TON SALES__ RAW DATA'!$I$2:$I$271)</f>
        <v>3000</v>
      </c>
      <c r="K81" s="6">
        <f t="shared" si="3"/>
        <v>19000</v>
      </c>
      <c r="L81" s="6">
        <f t="shared" si="4"/>
        <v>57000</v>
      </c>
      <c r="M81" s="6">
        <f t="shared" si="5"/>
        <v>38000</v>
      </c>
      <c r="N81" t="str">
        <f>_xlfn.XLOOKUP(E81,'KING TON SALES__ RAW DATA'!$A$2:$A$271,'KING TON SALES__ RAW DATA'!$M$2:$M$271)</f>
        <v>POS</v>
      </c>
    </row>
    <row r="82" spans="1:14">
      <c r="A82" s="7">
        <v>6743</v>
      </c>
      <c r="B82" s="8">
        <v>46255</v>
      </c>
      <c r="C82" t="s">
        <v>19</v>
      </c>
      <c r="D82" t="s">
        <v>18</v>
      </c>
      <c r="E82" t="s">
        <v>156</v>
      </c>
      <c r="F82" t="str">
        <f>_xlfn.XLOOKUP(E82,'KING TON SALES__ RAW DATA'!$A$2:$A$271,'KING TON SALES__ RAW DATA'!$B$2:$B$271)</f>
        <v>POWER PEAK 9v BATTERY</v>
      </c>
      <c r="G82" t="str">
        <f>_xlfn.XLOOKUP(E82,'KING TON SALES__ RAW DATA'!$A$2:$A$271,'KING TON SALES__ RAW DATA'!$D$2:$D$271)</f>
        <v>BATTERY</v>
      </c>
      <c r="H82" s="6">
        <f>_xlfn.XLOOKUP(E82,'KING TON SALES__ RAW DATA'!$A$2:$A$271,'KING TON SALES__ RAW DATA'!$G$2:$G$271)</f>
        <v>250</v>
      </c>
      <c r="I82">
        <v>25</v>
      </c>
      <c r="J82" s="6">
        <f>_xlfn.XLOOKUP(E82,'KING TON SALES__ RAW DATA'!$A$2:$A$271,'KING TON SALES__ RAW DATA'!$I$2:$I$271)</f>
        <v>500</v>
      </c>
      <c r="K82" s="6">
        <f t="shared" si="3"/>
        <v>6250</v>
      </c>
      <c r="L82" s="6">
        <f t="shared" si="4"/>
        <v>12500</v>
      </c>
      <c r="M82" s="6">
        <f t="shared" si="5"/>
        <v>6250</v>
      </c>
      <c r="N82" t="str">
        <f>_xlfn.XLOOKUP(E82,'KING TON SALES__ RAW DATA'!$A$2:$A$271,'KING TON SALES__ RAW DATA'!$M$2:$M$271)</f>
        <v>CASH</v>
      </c>
    </row>
    <row r="83" spans="1:14">
      <c r="A83" s="7">
        <v>6744</v>
      </c>
      <c r="B83" s="8">
        <v>46206</v>
      </c>
      <c r="C83" t="s">
        <v>33</v>
      </c>
      <c r="D83" t="s">
        <v>23</v>
      </c>
      <c r="E83" t="s">
        <v>48</v>
      </c>
      <c r="F83" t="str">
        <f>_xlfn.XLOOKUP(E83,'KING TON SALES__ RAW DATA'!$A$2:$A$271,'KING TON SALES__ RAW DATA'!$B$2:$B$271)</f>
        <v>HDMI (3m) WIRE</v>
      </c>
      <c r="G83" t="str">
        <f>_xlfn.XLOOKUP(E83,'KING TON SALES__ RAW DATA'!$A$2:$A$271,'KING TON SALES__ RAW DATA'!$D$2:$D$271)</f>
        <v>WIRE</v>
      </c>
      <c r="H83" s="6">
        <f>_xlfn.XLOOKUP(E83,'KING TON SALES__ RAW DATA'!$A$2:$A$271,'KING TON SALES__ RAW DATA'!$G$2:$G$271)</f>
        <v>600</v>
      </c>
      <c r="I83">
        <v>24</v>
      </c>
      <c r="J83" s="6">
        <f>_xlfn.XLOOKUP(E83,'KING TON SALES__ RAW DATA'!$A$2:$A$271,'KING TON SALES__ RAW DATA'!$I$2:$I$271)</f>
        <v>1500</v>
      </c>
      <c r="K83" s="6">
        <f t="shared" si="3"/>
        <v>14400</v>
      </c>
      <c r="L83" s="6">
        <f t="shared" si="4"/>
        <v>36000</v>
      </c>
      <c r="M83" s="6">
        <f t="shared" si="5"/>
        <v>21600</v>
      </c>
      <c r="N83" t="str">
        <f>_xlfn.XLOOKUP(E83,'KING TON SALES__ RAW DATA'!$A$2:$A$271,'KING TON SALES__ RAW DATA'!$M$2:$M$271)</f>
        <v>CASH</v>
      </c>
    </row>
    <row r="84" spans="1:14">
      <c r="A84" s="7">
        <v>6745</v>
      </c>
      <c r="B84" s="8">
        <v>46230</v>
      </c>
      <c r="C84" t="s">
        <v>33</v>
      </c>
      <c r="D84" t="s">
        <v>23</v>
      </c>
      <c r="E84" t="s">
        <v>48</v>
      </c>
      <c r="F84" t="str">
        <f>_xlfn.XLOOKUP(E84,'KING TON SALES__ RAW DATA'!$A$2:$A$271,'KING TON SALES__ RAW DATA'!$B$2:$B$271)</f>
        <v>HDMI (3m) WIRE</v>
      </c>
      <c r="G84" t="str">
        <f>_xlfn.XLOOKUP(E84,'KING TON SALES__ RAW DATA'!$A$2:$A$271,'KING TON SALES__ RAW DATA'!$D$2:$D$271)</f>
        <v>WIRE</v>
      </c>
      <c r="H84" s="6">
        <f>_xlfn.XLOOKUP(E84,'KING TON SALES__ RAW DATA'!$A$2:$A$271,'KING TON SALES__ RAW DATA'!$G$2:$G$271)</f>
        <v>600</v>
      </c>
      <c r="I84">
        <v>22</v>
      </c>
      <c r="J84" s="6">
        <f>_xlfn.XLOOKUP(E84,'KING TON SALES__ RAW DATA'!$A$2:$A$271,'KING TON SALES__ RAW DATA'!$I$2:$I$271)</f>
        <v>1500</v>
      </c>
      <c r="K84" s="6">
        <f t="shared" si="3"/>
        <v>13200</v>
      </c>
      <c r="L84" s="6">
        <f t="shared" si="4"/>
        <v>33000</v>
      </c>
      <c r="M84" s="6">
        <f t="shared" si="5"/>
        <v>19800</v>
      </c>
      <c r="N84" t="str">
        <f>_xlfn.XLOOKUP(E84,'KING TON SALES__ RAW DATA'!$A$2:$A$271,'KING TON SALES__ RAW DATA'!$M$2:$M$271)</f>
        <v>CASH</v>
      </c>
    </row>
    <row r="85" spans="1:14">
      <c r="A85" s="7">
        <v>6746</v>
      </c>
      <c r="B85" s="8">
        <v>46241</v>
      </c>
      <c r="C85" t="s">
        <v>19</v>
      </c>
      <c r="D85" t="s">
        <v>18</v>
      </c>
      <c r="E85" t="s">
        <v>138</v>
      </c>
      <c r="F85" t="str">
        <f>_xlfn.XLOOKUP(E85,'KING TON SALES__ RAW DATA'!$A$2:$A$271,'KING TON SALES__ RAW DATA'!$B$2:$B$271)</f>
        <v>MULTI (APC) EXTENTION 6 MOUTH</v>
      </c>
      <c r="G85" t="str">
        <f>_xlfn.XLOOKUP(E85,'KING TON SALES__ RAW DATA'!$A$2:$A$271,'KING TON SALES__ RAW DATA'!$D$2:$D$271)</f>
        <v>ELECTRICAL</v>
      </c>
      <c r="H85" s="6">
        <f>_xlfn.XLOOKUP(E85,'KING TON SALES__ RAW DATA'!$A$2:$A$271,'KING TON SALES__ RAW DATA'!$G$2:$G$271)</f>
        <v>7000</v>
      </c>
      <c r="I85">
        <v>23</v>
      </c>
      <c r="J85" s="6">
        <f>_xlfn.XLOOKUP(E85,'KING TON SALES__ RAW DATA'!$A$2:$A$271,'KING TON SALES__ RAW DATA'!$I$2:$I$271)</f>
        <v>12000</v>
      </c>
      <c r="K85" s="6">
        <f t="shared" si="3"/>
        <v>161000</v>
      </c>
      <c r="L85" s="6">
        <f t="shared" si="4"/>
        <v>276000</v>
      </c>
      <c r="M85" s="6">
        <f t="shared" si="5"/>
        <v>115000</v>
      </c>
      <c r="N85" t="str">
        <f>_xlfn.XLOOKUP(E85,'KING TON SALES__ RAW DATA'!$A$2:$A$271,'KING TON SALES__ RAW DATA'!$M$2:$M$271)</f>
        <v>CASH</v>
      </c>
    </row>
    <row r="86" spans="1:14">
      <c r="A86" s="7">
        <v>6747</v>
      </c>
      <c r="B86" s="8">
        <v>46262</v>
      </c>
      <c r="C86" t="s">
        <v>19</v>
      </c>
      <c r="D86" t="s">
        <v>23</v>
      </c>
      <c r="E86" t="s">
        <v>130</v>
      </c>
      <c r="F86" t="str">
        <f>_xlfn.XLOOKUP(E86,'KING TON SALES__ RAW DATA'!$A$2:$A$271,'KING TON SALES__ RAW DATA'!$B$2:$B$271)</f>
        <v>A&amp;Z MULTI </v>
      </c>
      <c r="G86" t="str">
        <f>_xlfn.XLOOKUP(E86,'KING TON SALES__ RAW DATA'!$A$2:$A$271,'KING TON SALES__ RAW DATA'!$D$2:$D$271)</f>
        <v>ELECTRICAL</v>
      </c>
      <c r="H86" s="6">
        <f>_xlfn.XLOOKUP(E86,'KING TON SALES__ RAW DATA'!$A$2:$A$271,'KING TON SALES__ RAW DATA'!$G$2:$G$271)</f>
        <v>700</v>
      </c>
      <c r="I86">
        <v>22</v>
      </c>
      <c r="J86" s="6">
        <f>_xlfn.XLOOKUP(E86,'KING TON SALES__ RAW DATA'!$A$2:$A$271,'KING TON SALES__ RAW DATA'!$I$2:$I$271)</f>
        <v>2000</v>
      </c>
      <c r="K86" s="6">
        <f t="shared" si="3"/>
        <v>15400</v>
      </c>
      <c r="L86" s="6">
        <f t="shared" si="4"/>
        <v>44000</v>
      </c>
      <c r="M86" s="6">
        <f t="shared" si="5"/>
        <v>28600</v>
      </c>
      <c r="N86" t="str">
        <f>_xlfn.XLOOKUP(E86,'KING TON SALES__ RAW DATA'!$A$2:$A$271,'KING TON SALES__ RAW DATA'!$M$2:$M$271)</f>
        <v>POS</v>
      </c>
    </row>
    <row r="87" spans="1:14">
      <c r="A87" s="7">
        <v>6748</v>
      </c>
      <c r="B87" s="8">
        <v>46243</v>
      </c>
      <c r="C87" t="s">
        <v>19</v>
      </c>
      <c r="D87" t="s">
        <v>18</v>
      </c>
      <c r="E87" t="s">
        <v>87</v>
      </c>
      <c r="F87" t="str">
        <f>_xlfn.XLOOKUP(E87,'KING TON SALES__ RAW DATA'!$A$2:$A$271,'KING TON SALES__ RAW DATA'!$B$2:$B$271)</f>
        <v>DC TO DC MALE (5m) WIRE</v>
      </c>
      <c r="G87" t="str">
        <f>_xlfn.XLOOKUP(E87,'KING TON SALES__ RAW DATA'!$A$2:$A$271,'KING TON SALES__ RAW DATA'!$D$2:$D$271)</f>
        <v>WIRE</v>
      </c>
      <c r="H87" s="6">
        <f>_xlfn.XLOOKUP(E87,'KING TON SALES__ RAW DATA'!$A$2:$A$271,'KING TON SALES__ RAW DATA'!$G$2:$G$271)</f>
        <v>1500</v>
      </c>
      <c r="I87">
        <v>24</v>
      </c>
      <c r="J87" s="6">
        <f>_xlfn.XLOOKUP(E87,'KING TON SALES__ RAW DATA'!$A$2:$A$271,'KING TON SALES__ RAW DATA'!$I$2:$I$271)</f>
        <v>3500</v>
      </c>
      <c r="K87" s="6">
        <f t="shared" si="3"/>
        <v>36000</v>
      </c>
      <c r="L87" s="6">
        <f t="shared" si="4"/>
        <v>84000</v>
      </c>
      <c r="M87" s="6">
        <f t="shared" si="5"/>
        <v>48000</v>
      </c>
      <c r="N87" t="str">
        <f>_xlfn.XLOOKUP(E87,'KING TON SALES__ RAW DATA'!$A$2:$A$271,'KING TON SALES__ RAW DATA'!$M$2:$M$271)</f>
        <v>POS</v>
      </c>
    </row>
    <row r="88" spans="1:14">
      <c r="A88" s="7">
        <v>6749</v>
      </c>
      <c r="B88" s="8">
        <v>46224</v>
      </c>
      <c r="C88" t="s">
        <v>19</v>
      </c>
      <c r="D88" t="s">
        <v>18</v>
      </c>
      <c r="E88" t="s">
        <v>87</v>
      </c>
      <c r="F88" t="str">
        <f>_xlfn.XLOOKUP(E88,'KING TON SALES__ RAW DATA'!$A$2:$A$271,'KING TON SALES__ RAW DATA'!$B$2:$B$271)</f>
        <v>DC TO DC MALE (5m) WIRE</v>
      </c>
      <c r="G88" t="str">
        <f>_xlfn.XLOOKUP(E88,'KING TON SALES__ RAW DATA'!$A$2:$A$271,'KING TON SALES__ RAW DATA'!$D$2:$D$271)</f>
        <v>WIRE</v>
      </c>
      <c r="H88" s="6">
        <f>_xlfn.XLOOKUP(E88,'KING TON SALES__ RAW DATA'!$A$2:$A$271,'KING TON SALES__ RAW DATA'!$G$2:$G$271)</f>
        <v>1500</v>
      </c>
      <c r="I88">
        <v>17</v>
      </c>
      <c r="J88" s="6">
        <f>_xlfn.XLOOKUP(E88,'KING TON SALES__ RAW DATA'!$A$2:$A$271,'KING TON SALES__ RAW DATA'!$I$2:$I$271)</f>
        <v>3500</v>
      </c>
      <c r="K88" s="6">
        <f t="shared" si="3"/>
        <v>25500</v>
      </c>
      <c r="L88" s="6">
        <f t="shared" si="4"/>
        <v>59500</v>
      </c>
      <c r="M88" s="6">
        <f t="shared" si="5"/>
        <v>34000</v>
      </c>
      <c r="N88" t="str">
        <f>_xlfn.XLOOKUP(E88,'KING TON SALES__ RAW DATA'!$A$2:$A$271,'KING TON SALES__ RAW DATA'!$M$2:$M$271)</f>
        <v>POS</v>
      </c>
    </row>
    <row r="89" spans="1:14">
      <c r="A89" s="7">
        <v>6750</v>
      </c>
      <c r="B89" s="8">
        <v>46254</v>
      </c>
      <c r="C89" t="s">
        <v>19</v>
      </c>
      <c r="D89" t="s">
        <v>23</v>
      </c>
      <c r="E89" t="s">
        <v>120</v>
      </c>
      <c r="F89" t="str">
        <f>_xlfn.XLOOKUP(E89,'KING TON SALES__ RAW DATA'!$A$2:$A$271,'KING TON SALES__ RAW DATA'!$B$2:$B$271)</f>
        <v>13 AMPS DOUBLE SOCKET BENJOR</v>
      </c>
      <c r="G89" t="str">
        <f>_xlfn.XLOOKUP(E89,'KING TON SALES__ RAW DATA'!$A$2:$A$271,'KING TON SALES__ RAW DATA'!$D$2:$D$271)</f>
        <v>ELECTRICAL</v>
      </c>
      <c r="H89" s="6">
        <f>_xlfn.XLOOKUP(E89,'KING TON SALES__ RAW DATA'!$A$2:$A$271,'KING TON SALES__ RAW DATA'!$G$2:$G$271)</f>
        <v>2500</v>
      </c>
      <c r="I89">
        <v>18</v>
      </c>
      <c r="J89" s="6">
        <f>_xlfn.XLOOKUP(E89,'KING TON SALES__ RAW DATA'!$A$2:$A$271,'KING TON SALES__ RAW DATA'!$I$2:$I$271)</f>
        <v>5000</v>
      </c>
      <c r="K89" s="6">
        <f t="shared" si="3"/>
        <v>45000</v>
      </c>
      <c r="L89" s="6">
        <f t="shared" si="4"/>
        <v>90000</v>
      </c>
      <c r="M89" s="6">
        <f t="shared" si="5"/>
        <v>45000</v>
      </c>
      <c r="N89" t="str">
        <f>_xlfn.XLOOKUP(E89,'KING TON SALES__ RAW DATA'!$A$2:$A$271,'KING TON SALES__ RAW DATA'!$M$2:$M$271)</f>
        <v>POS</v>
      </c>
    </row>
    <row r="90" spans="1:14">
      <c r="A90" s="7">
        <v>6751</v>
      </c>
      <c r="B90" s="8">
        <v>46219</v>
      </c>
      <c r="C90" t="s">
        <v>33</v>
      </c>
      <c r="D90" t="s">
        <v>23</v>
      </c>
      <c r="E90" t="s">
        <v>79</v>
      </c>
      <c r="F90" t="str">
        <f>_xlfn.XLOOKUP(E90,'KING TON SALES__ RAW DATA'!$A$2:$A$271,'KING TON SALES__ RAW DATA'!$B$2:$B$271)</f>
        <v>BLUE 4K HDMI (10m) WIRE</v>
      </c>
      <c r="G90" t="str">
        <f>_xlfn.XLOOKUP(E90,'KING TON SALES__ RAW DATA'!$A$2:$A$271,'KING TON SALES__ RAW DATA'!$D$2:$D$271)</f>
        <v>WIRE</v>
      </c>
      <c r="H90" s="6">
        <f>_xlfn.XLOOKUP(E90,'KING TON SALES__ RAW DATA'!$A$2:$A$271,'KING TON SALES__ RAW DATA'!$G$2:$G$271)</f>
        <v>6000</v>
      </c>
      <c r="I90">
        <v>17</v>
      </c>
      <c r="J90" s="6">
        <f>_xlfn.XLOOKUP(E90,'KING TON SALES__ RAW DATA'!$A$2:$A$271,'KING TON SALES__ RAW DATA'!$I$2:$I$271)</f>
        <v>12000</v>
      </c>
      <c r="K90" s="6">
        <f t="shared" si="3"/>
        <v>102000</v>
      </c>
      <c r="L90" s="6">
        <f t="shared" si="4"/>
        <v>204000</v>
      </c>
      <c r="M90" s="6">
        <f t="shared" si="5"/>
        <v>102000</v>
      </c>
      <c r="N90" t="str">
        <f>_xlfn.XLOOKUP(E90,'KING TON SALES__ RAW DATA'!$A$2:$A$271,'KING TON SALES__ RAW DATA'!$M$2:$M$271)</f>
        <v>TRANSFER</v>
      </c>
    </row>
    <row r="91" spans="1:14">
      <c r="A91" s="7">
        <v>6752</v>
      </c>
      <c r="B91" s="8">
        <v>46218</v>
      </c>
      <c r="C91" t="s">
        <v>36</v>
      </c>
      <c r="D91" t="s">
        <v>23</v>
      </c>
      <c r="E91" t="s">
        <v>71</v>
      </c>
      <c r="F91" t="str">
        <f>_xlfn.XLOOKUP(E91,'KING TON SALES__ RAW DATA'!$A$2:$A$271,'KING TON SALES__ RAW DATA'!$B$2:$B$271)</f>
        <v>4K HDMI (100m) WIRE</v>
      </c>
      <c r="G91" t="str">
        <f>_xlfn.XLOOKUP(E91,'KING TON SALES__ RAW DATA'!$A$2:$A$271,'KING TON SALES__ RAW DATA'!$D$2:$D$271)</f>
        <v>WIRE</v>
      </c>
      <c r="H91" s="6">
        <f>_xlfn.XLOOKUP(E91,'KING TON SALES__ RAW DATA'!$A$2:$A$271,'KING TON SALES__ RAW DATA'!$G$2:$G$271)</f>
        <v>60000</v>
      </c>
      <c r="I91">
        <v>22</v>
      </c>
      <c r="J91" s="6">
        <f>_xlfn.XLOOKUP(E91,'KING TON SALES__ RAW DATA'!$A$2:$A$271,'KING TON SALES__ RAW DATA'!$I$2:$I$271)</f>
        <v>100000</v>
      </c>
      <c r="K91" s="6">
        <f t="shared" si="3"/>
        <v>1320000</v>
      </c>
      <c r="L91" s="6">
        <f t="shared" si="4"/>
        <v>2200000</v>
      </c>
      <c r="M91" s="6">
        <f t="shared" si="5"/>
        <v>880000</v>
      </c>
      <c r="N91" t="str">
        <f>_xlfn.XLOOKUP(E91,'KING TON SALES__ RAW DATA'!$A$2:$A$271,'KING TON SALES__ RAW DATA'!$M$2:$M$271)</f>
        <v>POS</v>
      </c>
    </row>
    <row r="92" spans="1:14">
      <c r="A92" s="7">
        <v>6753</v>
      </c>
      <c r="B92" s="8">
        <v>46229</v>
      </c>
      <c r="C92" t="s">
        <v>19</v>
      </c>
      <c r="D92" t="s">
        <v>23</v>
      </c>
      <c r="E92" t="s">
        <v>55</v>
      </c>
      <c r="F92" t="str">
        <f>_xlfn.XLOOKUP(E92,'KING TON SALES__ RAW DATA'!$A$2:$A$271,'KING TON SALES__ RAW DATA'!$B$2:$B$271)</f>
        <v>HDMI (15m) WIRE</v>
      </c>
      <c r="G92" t="str">
        <f>_xlfn.XLOOKUP(E92,'KING TON SALES__ RAW DATA'!$A$2:$A$271,'KING TON SALES__ RAW DATA'!$D$2:$D$271)</f>
        <v>WIRE</v>
      </c>
      <c r="H92" s="6">
        <f>_xlfn.XLOOKUP(E92,'KING TON SALES__ RAW DATA'!$A$2:$A$271,'KING TON SALES__ RAW DATA'!$G$2:$G$271)</f>
        <v>3000</v>
      </c>
      <c r="I92">
        <v>25</v>
      </c>
      <c r="J92" s="6">
        <f>_xlfn.XLOOKUP(E92,'KING TON SALES__ RAW DATA'!$A$2:$A$271,'KING TON SALES__ RAW DATA'!$I$2:$I$271)</f>
        <v>8000</v>
      </c>
      <c r="K92" s="6">
        <f t="shared" si="3"/>
        <v>75000</v>
      </c>
      <c r="L92" s="6">
        <f t="shared" si="4"/>
        <v>200000</v>
      </c>
      <c r="M92" s="6">
        <f t="shared" si="5"/>
        <v>125000</v>
      </c>
      <c r="N92" t="str">
        <f>_xlfn.XLOOKUP(E92,'KING TON SALES__ RAW DATA'!$A$2:$A$271,'KING TON SALES__ RAW DATA'!$M$2:$M$271)</f>
        <v>TRANSFER</v>
      </c>
    </row>
    <row r="93" spans="1:14">
      <c r="A93" s="7">
        <v>6754</v>
      </c>
      <c r="B93" s="8">
        <v>46212</v>
      </c>
      <c r="C93" t="s">
        <v>19</v>
      </c>
      <c r="D93" t="s">
        <v>23</v>
      </c>
      <c r="E93" t="s">
        <v>61</v>
      </c>
      <c r="F93" t="str">
        <f>_xlfn.XLOOKUP(E93,'KING TON SALES__ RAW DATA'!$A$2:$A$271,'KING TON SALES__ RAW DATA'!$B$2:$B$271)</f>
        <v>HDMI (50m) WIRE</v>
      </c>
      <c r="G93" t="str">
        <f>_xlfn.XLOOKUP(E93,'KING TON SALES__ RAW DATA'!$A$2:$A$271,'KING TON SALES__ RAW DATA'!$D$2:$D$271)</f>
        <v>WIRE</v>
      </c>
      <c r="H93" s="6">
        <f>_xlfn.XLOOKUP(E93,'KING TON SALES__ RAW DATA'!$A$2:$A$271,'KING TON SALES__ RAW DATA'!$G$2:$G$271)</f>
        <v>15000</v>
      </c>
      <c r="I93">
        <v>19</v>
      </c>
      <c r="J93" s="6">
        <f>_xlfn.XLOOKUP(E93,'KING TON SALES__ RAW DATA'!$A$2:$A$271,'KING TON SALES__ RAW DATA'!$I$2:$I$271)</f>
        <v>20000</v>
      </c>
      <c r="K93" s="6">
        <f t="shared" si="3"/>
        <v>285000</v>
      </c>
      <c r="L93" s="6">
        <f t="shared" si="4"/>
        <v>380000</v>
      </c>
      <c r="M93" s="6">
        <f t="shared" si="5"/>
        <v>95000</v>
      </c>
      <c r="N93" t="str">
        <f>_xlfn.XLOOKUP(E93,'KING TON SALES__ RAW DATA'!$A$2:$A$271,'KING TON SALES__ RAW DATA'!$M$2:$M$271)</f>
        <v>TRANSFER</v>
      </c>
    </row>
    <row r="94" spans="1:14">
      <c r="A94" s="7">
        <v>6755</v>
      </c>
      <c r="B94" s="8">
        <v>46233</v>
      </c>
      <c r="C94" t="s">
        <v>19</v>
      </c>
      <c r="D94" t="s">
        <v>18</v>
      </c>
      <c r="E94" t="s">
        <v>63</v>
      </c>
      <c r="F94" t="str">
        <f>_xlfn.XLOOKUP(E94,'KING TON SALES__ RAW DATA'!$A$2:$A$271,'KING TON SALES__ RAW DATA'!$B$2:$B$271)</f>
        <v>4K HDMI (5m) WIRE</v>
      </c>
      <c r="G94" t="str">
        <f>_xlfn.XLOOKUP(E94,'KING TON SALES__ RAW DATA'!$A$2:$A$271,'KING TON SALES__ RAW DATA'!$D$2:$D$271)</f>
        <v>WIRE</v>
      </c>
      <c r="H94" s="6">
        <f>_xlfn.XLOOKUP(E94,'KING TON SALES__ RAW DATA'!$A$2:$A$271,'KING TON SALES__ RAW DATA'!$G$2:$G$271)</f>
        <v>3000</v>
      </c>
      <c r="I94">
        <v>22</v>
      </c>
      <c r="J94" s="6">
        <f>_xlfn.XLOOKUP(E94,'KING TON SALES__ RAW DATA'!$A$2:$A$271,'KING TON SALES__ RAW DATA'!$I$2:$I$271)</f>
        <v>8000</v>
      </c>
      <c r="K94" s="6">
        <f t="shared" si="3"/>
        <v>66000</v>
      </c>
      <c r="L94" s="6">
        <f t="shared" si="4"/>
        <v>176000</v>
      </c>
      <c r="M94" s="6">
        <f t="shared" si="5"/>
        <v>110000</v>
      </c>
      <c r="N94" t="str">
        <f>_xlfn.XLOOKUP(E94,'KING TON SALES__ RAW DATA'!$A$2:$A$271,'KING TON SALES__ RAW DATA'!$M$2:$M$271)</f>
        <v>POS</v>
      </c>
    </row>
    <row r="95" spans="1:14">
      <c r="A95" s="7">
        <v>6756</v>
      </c>
      <c r="B95" s="8">
        <v>46230</v>
      </c>
      <c r="C95" t="s">
        <v>19</v>
      </c>
      <c r="D95" t="s">
        <v>23</v>
      </c>
      <c r="E95" t="s">
        <v>116</v>
      </c>
      <c r="F95" t="str">
        <f>_xlfn.XLOOKUP(E95,'KING TON SALES__ RAW DATA'!$A$2:$A$271,'KING TON SALES__ RAW DATA'!$B$2:$B$271)</f>
        <v>15 AMPS PLUG HEAD BENJOR</v>
      </c>
      <c r="G95" t="str">
        <f>_xlfn.XLOOKUP(E95,'KING TON SALES__ RAW DATA'!$A$2:$A$271,'KING TON SALES__ RAW DATA'!$D$2:$D$271)</f>
        <v>ELECTRICAL</v>
      </c>
      <c r="H95" s="6">
        <f>_xlfn.XLOOKUP(E95,'KING TON SALES__ RAW DATA'!$A$2:$A$271,'KING TON SALES__ RAW DATA'!$G$2:$G$271)</f>
        <v>800</v>
      </c>
      <c r="I95">
        <v>23</v>
      </c>
      <c r="J95" s="6">
        <f>_xlfn.XLOOKUP(E95,'KING TON SALES__ RAW DATA'!$A$2:$A$271,'KING TON SALES__ RAW DATA'!$I$2:$I$271)</f>
        <v>1500</v>
      </c>
      <c r="K95" s="6">
        <f t="shared" si="3"/>
        <v>18400</v>
      </c>
      <c r="L95" s="6">
        <f t="shared" si="4"/>
        <v>34500</v>
      </c>
      <c r="M95" s="6">
        <f t="shared" si="5"/>
        <v>16100</v>
      </c>
      <c r="N95" t="str">
        <f>_xlfn.XLOOKUP(E95,'KING TON SALES__ RAW DATA'!$A$2:$A$271,'KING TON SALES__ RAW DATA'!$M$2:$M$271)</f>
        <v>POS</v>
      </c>
    </row>
    <row r="96" spans="1:14">
      <c r="A96" s="7">
        <v>6757</v>
      </c>
      <c r="B96" s="8">
        <v>46263</v>
      </c>
      <c r="C96" t="s">
        <v>19</v>
      </c>
      <c r="D96" t="s">
        <v>18</v>
      </c>
      <c r="E96" t="s">
        <v>138</v>
      </c>
      <c r="F96" t="str">
        <f>_xlfn.XLOOKUP(E96,'KING TON SALES__ RAW DATA'!$A$2:$A$271,'KING TON SALES__ RAW DATA'!$B$2:$B$271)</f>
        <v>MULTI (APC) EXTENTION 6 MOUTH</v>
      </c>
      <c r="G96" t="str">
        <f>_xlfn.XLOOKUP(E96,'KING TON SALES__ RAW DATA'!$A$2:$A$271,'KING TON SALES__ RAW DATA'!$D$2:$D$271)</f>
        <v>ELECTRICAL</v>
      </c>
      <c r="H96" s="6">
        <f>_xlfn.XLOOKUP(E96,'KING TON SALES__ RAW DATA'!$A$2:$A$271,'KING TON SALES__ RAW DATA'!$G$2:$G$271)</f>
        <v>7000</v>
      </c>
      <c r="I96">
        <v>22</v>
      </c>
      <c r="J96" s="6">
        <f>_xlfn.XLOOKUP(E96,'KING TON SALES__ RAW DATA'!$A$2:$A$271,'KING TON SALES__ RAW DATA'!$I$2:$I$271)</f>
        <v>12000</v>
      </c>
      <c r="K96" s="6">
        <f t="shared" si="3"/>
        <v>154000</v>
      </c>
      <c r="L96" s="6">
        <f t="shared" si="4"/>
        <v>264000</v>
      </c>
      <c r="M96" s="6">
        <f t="shared" si="5"/>
        <v>110000</v>
      </c>
      <c r="N96" t="str">
        <f>_xlfn.XLOOKUP(E96,'KING TON SALES__ RAW DATA'!$A$2:$A$271,'KING TON SALES__ RAW DATA'!$M$2:$M$271)</f>
        <v>CASH</v>
      </c>
    </row>
    <row r="97" spans="1:14">
      <c r="A97" s="7">
        <v>6758</v>
      </c>
      <c r="B97" s="8">
        <v>46208</v>
      </c>
      <c r="C97" t="s">
        <v>52</v>
      </c>
      <c r="D97" t="s">
        <v>23</v>
      </c>
      <c r="E97" t="s">
        <v>50</v>
      </c>
      <c r="F97" t="str">
        <f>_xlfn.XLOOKUP(E97,'KING TON SALES__ RAW DATA'!$A$2:$A$271,'KING TON SALES__ RAW DATA'!$B$2:$B$271)</f>
        <v>HDMI (5m) WIRE</v>
      </c>
      <c r="G97" t="str">
        <f>_xlfn.XLOOKUP(E97,'KING TON SALES__ RAW DATA'!$A$2:$A$271,'KING TON SALES__ RAW DATA'!$D$2:$D$271)</f>
        <v>WIRE</v>
      </c>
      <c r="H97" s="6">
        <f>_xlfn.XLOOKUP(E97,'KING TON SALES__ RAW DATA'!$A$2:$A$271,'KING TON SALES__ RAW DATA'!$G$2:$G$271)</f>
        <v>1200</v>
      </c>
      <c r="I97">
        <v>19</v>
      </c>
      <c r="J97" s="6">
        <f>_xlfn.XLOOKUP(E97,'KING TON SALES__ RAW DATA'!$A$2:$A$271,'KING TON SALES__ RAW DATA'!$I$2:$I$271)</f>
        <v>2500</v>
      </c>
      <c r="K97" s="6">
        <f t="shared" si="3"/>
        <v>22800</v>
      </c>
      <c r="L97" s="6">
        <f t="shared" si="4"/>
        <v>47500</v>
      </c>
      <c r="M97" s="6">
        <f t="shared" si="5"/>
        <v>24700</v>
      </c>
      <c r="N97" t="str">
        <f>_xlfn.XLOOKUP(E97,'KING TON SALES__ RAW DATA'!$A$2:$A$271,'KING TON SALES__ RAW DATA'!$M$2:$M$271)</f>
        <v>CASH</v>
      </c>
    </row>
    <row r="98" spans="1:14">
      <c r="A98" s="7">
        <v>6759</v>
      </c>
      <c r="B98" s="8">
        <v>46241</v>
      </c>
      <c r="C98" t="s">
        <v>19</v>
      </c>
      <c r="D98" t="s">
        <v>18</v>
      </c>
      <c r="E98" t="s">
        <v>138</v>
      </c>
      <c r="F98" t="str">
        <f>_xlfn.XLOOKUP(E98,'KING TON SALES__ RAW DATA'!$A$2:$A$271,'KING TON SALES__ RAW DATA'!$B$2:$B$271)</f>
        <v>MULTI (APC) EXTENTION 6 MOUTH</v>
      </c>
      <c r="G98" t="str">
        <f>_xlfn.XLOOKUP(E98,'KING TON SALES__ RAW DATA'!$A$2:$A$271,'KING TON SALES__ RAW DATA'!$D$2:$D$271)</f>
        <v>ELECTRICAL</v>
      </c>
      <c r="H98" s="6">
        <f>_xlfn.XLOOKUP(E98,'KING TON SALES__ RAW DATA'!$A$2:$A$271,'KING TON SALES__ RAW DATA'!$G$2:$G$271)</f>
        <v>7000</v>
      </c>
      <c r="I98">
        <v>22</v>
      </c>
      <c r="J98" s="6">
        <f>_xlfn.XLOOKUP(E98,'KING TON SALES__ RAW DATA'!$A$2:$A$271,'KING TON SALES__ RAW DATA'!$I$2:$I$271)</f>
        <v>12000</v>
      </c>
      <c r="K98" s="6">
        <f t="shared" si="3"/>
        <v>154000</v>
      </c>
      <c r="L98" s="6">
        <f t="shared" si="4"/>
        <v>264000</v>
      </c>
      <c r="M98" s="6">
        <f t="shared" si="5"/>
        <v>110000</v>
      </c>
      <c r="N98" t="str">
        <f>_xlfn.XLOOKUP(E98,'KING TON SALES__ RAW DATA'!$A$2:$A$271,'KING TON SALES__ RAW DATA'!$M$2:$M$271)</f>
        <v>CASH</v>
      </c>
    </row>
    <row r="99" spans="1:14">
      <c r="A99" s="7">
        <v>6760</v>
      </c>
      <c r="B99" s="8">
        <v>46232</v>
      </c>
      <c r="C99" t="s">
        <v>52</v>
      </c>
      <c r="D99" t="s">
        <v>18</v>
      </c>
      <c r="E99" t="s">
        <v>53</v>
      </c>
      <c r="F99" t="str">
        <f>_xlfn.XLOOKUP(E99,'KING TON SALES__ RAW DATA'!$A$2:$A$271,'KING TON SALES__ RAW DATA'!$B$2:$B$271)</f>
        <v>HDMI (10m) WIRE </v>
      </c>
      <c r="G99" t="str">
        <f>_xlfn.XLOOKUP(E99,'KING TON SALES__ RAW DATA'!$A$2:$A$271,'KING TON SALES__ RAW DATA'!$D$2:$D$271)</f>
        <v>WIRE</v>
      </c>
      <c r="H99" s="6">
        <f>_xlfn.XLOOKUP(E99,'KING TON SALES__ RAW DATA'!$A$2:$A$271,'KING TON SALES__ RAW DATA'!$G$2:$G$271)</f>
        <v>2500</v>
      </c>
      <c r="I99">
        <v>23</v>
      </c>
      <c r="J99" s="6">
        <f>_xlfn.XLOOKUP(E99,'KING TON SALES__ RAW DATA'!$A$2:$A$271,'KING TON SALES__ RAW DATA'!$I$2:$I$271)</f>
        <v>5000</v>
      </c>
      <c r="K99" s="6">
        <f t="shared" si="3"/>
        <v>57500</v>
      </c>
      <c r="L99" s="6">
        <f t="shared" si="4"/>
        <v>115000</v>
      </c>
      <c r="M99" s="6">
        <f t="shared" si="5"/>
        <v>57500</v>
      </c>
      <c r="N99" t="str">
        <f>_xlfn.XLOOKUP(E99,'KING TON SALES__ RAW DATA'!$A$2:$A$271,'KING TON SALES__ RAW DATA'!$M$2:$M$271)</f>
        <v>TRANSFER</v>
      </c>
    </row>
    <row r="100" spans="1:14">
      <c r="A100" s="7">
        <v>6761</v>
      </c>
      <c r="B100" s="8">
        <v>46208</v>
      </c>
      <c r="C100" t="s">
        <v>19</v>
      </c>
      <c r="D100" t="s">
        <v>18</v>
      </c>
      <c r="E100" t="s">
        <v>124</v>
      </c>
      <c r="F100" t="str">
        <f>_xlfn.XLOOKUP(E100,'KING TON SALES__ RAW DATA'!$A$2:$A$271,'KING TON SALES__ RAW DATA'!$B$2:$B$271)</f>
        <v>13 AMPS DOUBLE SOCKET NEW</v>
      </c>
      <c r="G100" t="str">
        <f>_xlfn.XLOOKUP(E100,'KING TON SALES__ RAW DATA'!$A$2:$A$271,'KING TON SALES__ RAW DATA'!$D$2:$D$271)</f>
        <v>ELECTRICAL</v>
      </c>
      <c r="H100" s="6">
        <f>_xlfn.XLOOKUP(E100,'KING TON SALES__ RAW DATA'!$A$2:$A$271,'KING TON SALES__ RAW DATA'!$G$2:$G$271)</f>
        <v>1500</v>
      </c>
      <c r="I100">
        <v>25</v>
      </c>
      <c r="J100" s="6">
        <f>_xlfn.XLOOKUP(E100,'KING TON SALES__ RAW DATA'!$A$2:$A$271,'KING TON SALES__ RAW DATA'!$I$2:$I$271)</f>
        <v>2500</v>
      </c>
      <c r="K100" s="6">
        <f t="shared" si="3"/>
        <v>37500</v>
      </c>
      <c r="L100" s="6">
        <f t="shared" si="4"/>
        <v>62500</v>
      </c>
      <c r="M100" s="6">
        <f t="shared" si="5"/>
        <v>25000</v>
      </c>
      <c r="N100" t="str">
        <f>_xlfn.XLOOKUP(E100,'KING TON SALES__ RAW DATA'!$A$2:$A$271,'KING TON SALES__ RAW DATA'!$M$2:$M$271)</f>
        <v>TRANSFER</v>
      </c>
    </row>
    <row r="101" spans="1:14">
      <c r="A101" s="7">
        <v>6762</v>
      </c>
      <c r="B101" s="8">
        <v>46244</v>
      </c>
      <c r="C101" t="s">
        <v>36</v>
      </c>
      <c r="D101" t="s">
        <v>23</v>
      </c>
      <c r="E101" t="s">
        <v>101</v>
      </c>
      <c r="F101" t="str">
        <f>_xlfn.XLOOKUP(E101,'KING TON SALES__ RAW DATA'!$A$2:$A$271,'KING TON SALES__ RAW DATA'!$B$2:$B$271)</f>
        <v>USB TO USB CORD (1.5m)</v>
      </c>
      <c r="G101" t="str">
        <f>_xlfn.XLOOKUP(E101,'KING TON SALES__ RAW DATA'!$A$2:$A$271,'KING TON SALES__ RAW DATA'!$D$2:$D$271)</f>
        <v>WIRE</v>
      </c>
      <c r="H101" s="6">
        <f>_xlfn.XLOOKUP(E101,'KING TON SALES__ RAW DATA'!$A$2:$A$271,'KING TON SALES__ RAW DATA'!$G$2:$G$271)</f>
        <v>2000</v>
      </c>
      <c r="I101">
        <v>19</v>
      </c>
      <c r="J101" s="6">
        <f>_xlfn.XLOOKUP(E101,'KING TON SALES__ RAW DATA'!$A$2:$A$271,'KING TON SALES__ RAW DATA'!$I$2:$I$271)</f>
        <v>4000</v>
      </c>
      <c r="K101" s="6">
        <f t="shared" si="3"/>
        <v>38000</v>
      </c>
      <c r="L101" s="6">
        <f t="shared" si="4"/>
        <v>76000</v>
      </c>
      <c r="M101" s="6">
        <f t="shared" si="5"/>
        <v>38000</v>
      </c>
      <c r="N101" t="str">
        <f>_xlfn.XLOOKUP(E101,'KING TON SALES__ RAW DATA'!$A$2:$A$271,'KING TON SALES__ RAW DATA'!$M$2:$M$271)</f>
        <v>TRANSFER</v>
      </c>
    </row>
    <row r="102" spans="1:14">
      <c r="A102" s="7">
        <v>6763</v>
      </c>
      <c r="B102" s="8">
        <v>46240</v>
      </c>
      <c r="C102" t="s">
        <v>19</v>
      </c>
      <c r="D102" t="s">
        <v>23</v>
      </c>
      <c r="E102" t="s">
        <v>116</v>
      </c>
      <c r="F102" t="str">
        <f>_xlfn.XLOOKUP(E102,'KING TON SALES__ RAW DATA'!$A$2:$A$271,'KING TON SALES__ RAW DATA'!$B$2:$B$271)</f>
        <v>15 AMPS PLUG HEAD BENJOR</v>
      </c>
      <c r="G102" t="str">
        <f>_xlfn.XLOOKUP(E102,'KING TON SALES__ RAW DATA'!$A$2:$A$271,'KING TON SALES__ RAW DATA'!$D$2:$D$271)</f>
        <v>ELECTRICAL</v>
      </c>
      <c r="H102" s="6">
        <f>_xlfn.XLOOKUP(E102,'KING TON SALES__ RAW DATA'!$A$2:$A$271,'KING TON SALES__ RAW DATA'!$G$2:$G$271)</f>
        <v>800</v>
      </c>
      <c r="I102">
        <v>25</v>
      </c>
      <c r="J102" s="6">
        <f>_xlfn.XLOOKUP(E102,'KING TON SALES__ RAW DATA'!$A$2:$A$271,'KING TON SALES__ RAW DATA'!$I$2:$I$271)</f>
        <v>1500</v>
      </c>
      <c r="K102" s="6">
        <f t="shared" si="3"/>
        <v>20000</v>
      </c>
      <c r="L102" s="6">
        <f t="shared" si="4"/>
        <v>37500</v>
      </c>
      <c r="M102" s="6">
        <f t="shared" si="5"/>
        <v>17500</v>
      </c>
      <c r="N102" t="str">
        <f>_xlfn.XLOOKUP(E102,'KING TON SALES__ RAW DATA'!$A$2:$A$271,'KING TON SALES__ RAW DATA'!$M$2:$M$271)</f>
        <v>POS</v>
      </c>
    </row>
    <row r="103" spans="1:14">
      <c r="A103" s="7">
        <v>6764</v>
      </c>
      <c r="B103" s="8">
        <v>46207</v>
      </c>
      <c r="C103" t="s">
        <v>36</v>
      </c>
      <c r="D103" t="s">
        <v>23</v>
      </c>
      <c r="E103" t="s">
        <v>71</v>
      </c>
      <c r="F103" t="str">
        <f>_xlfn.XLOOKUP(E103,'KING TON SALES__ RAW DATA'!$A$2:$A$271,'KING TON SALES__ RAW DATA'!$B$2:$B$271)</f>
        <v>4K HDMI (100m) WIRE</v>
      </c>
      <c r="G103" t="str">
        <f>_xlfn.XLOOKUP(E103,'KING TON SALES__ RAW DATA'!$A$2:$A$271,'KING TON SALES__ RAW DATA'!$D$2:$D$271)</f>
        <v>WIRE</v>
      </c>
      <c r="H103" s="6">
        <f>_xlfn.XLOOKUP(E103,'KING TON SALES__ RAW DATA'!$A$2:$A$271,'KING TON SALES__ RAW DATA'!$G$2:$G$271)</f>
        <v>60000</v>
      </c>
      <c r="I103">
        <v>23</v>
      </c>
      <c r="J103" s="6">
        <f>_xlfn.XLOOKUP(E103,'KING TON SALES__ RAW DATA'!$A$2:$A$271,'KING TON SALES__ RAW DATA'!$I$2:$I$271)</f>
        <v>100000</v>
      </c>
      <c r="K103" s="6">
        <f t="shared" si="3"/>
        <v>1380000</v>
      </c>
      <c r="L103" s="6">
        <f t="shared" si="4"/>
        <v>2300000</v>
      </c>
      <c r="M103" s="6">
        <f t="shared" si="5"/>
        <v>920000</v>
      </c>
      <c r="N103" t="str">
        <f>_xlfn.XLOOKUP(E103,'KING TON SALES__ RAW DATA'!$A$2:$A$271,'KING TON SALES__ RAW DATA'!$M$2:$M$271)</f>
        <v>POS</v>
      </c>
    </row>
    <row r="104" spans="1:14">
      <c r="A104" s="7">
        <v>6765</v>
      </c>
      <c r="B104" s="8">
        <v>46219</v>
      </c>
      <c r="C104" t="s">
        <v>33</v>
      </c>
      <c r="D104" t="s">
        <v>23</v>
      </c>
      <c r="E104" t="s">
        <v>79</v>
      </c>
      <c r="F104" t="str">
        <f>_xlfn.XLOOKUP(E104,'KING TON SALES__ RAW DATA'!$A$2:$A$271,'KING TON SALES__ RAW DATA'!$B$2:$B$271)</f>
        <v>BLUE 4K HDMI (10m) WIRE</v>
      </c>
      <c r="G104" t="str">
        <f>_xlfn.XLOOKUP(E104,'KING TON SALES__ RAW DATA'!$A$2:$A$271,'KING TON SALES__ RAW DATA'!$D$2:$D$271)</f>
        <v>WIRE</v>
      </c>
      <c r="H104" s="6">
        <f>_xlfn.XLOOKUP(E104,'KING TON SALES__ RAW DATA'!$A$2:$A$271,'KING TON SALES__ RAW DATA'!$G$2:$G$271)</f>
        <v>6000</v>
      </c>
      <c r="I104">
        <v>25</v>
      </c>
      <c r="J104" s="6">
        <f>_xlfn.XLOOKUP(E104,'KING TON SALES__ RAW DATA'!$A$2:$A$271,'KING TON SALES__ RAW DATA'!$I$2:$I$271)</f>
        <v>12000</v>
      </c>
      <c r="K104" s="6">
        <f t="shared" si="3"/>
        <v>150000</v>
      </c>
      <c r="L104" s="6">
        <f t="shared" si="4"/>
        <v>300000</v>
      </c>
      <c r="M104" s="6">
        <f t="shared" si="5"/>
        <v>150000</v>
      </c>
      <c r="N104" t="str">
        <f>_xlfn.XLOOKUP(E104,'KING TON SALES__ RAW DATA'!$A$2:$A$271,'KING TON SALES__ RAW DATA'!$M$2:$M$271)</f>
        <v>TRANSFER</v>
      </c>
    </row>
    <row r="105" spans="1:14">
      <c r="A105" s="7">
        <v>6766</v>
      </c>
      <c r="B105" s="8">
        <v>46252</v>
      </c>
      <c r="C105" t="s">
        <v>33</v>
      </c>
      <c r="D105" t="s">
        <v>23</v>
      </c>
      <c r="E105" t="s">
        <v>79</v>
      </c>
      <c r="F105" t="str">
        <f>_xlfn.XLOOKUP(E105,'KING TON SALES__ RAW DATA'!$A$2:$A$271,'KING TON SALES__ RAW DATA'!$B$2:$B$271)</f>
        <v>BLUE 4K HDMI (10m) WIRE</v>
      </c>
      <c r="G105" t="str">
        <f>_xlfn.XLOOKUP(E105,'KING TON SALES__ RAW DATA'!$A$2:$A$271,'KING TON SALES__ RAW DATA'!$D$2:$D$271)</f>
        <v>WIRE</v>
      </c>
      <c r="H105" s="6">
        <f>_xlfn.XLOOKUP(E105,'KING TON SALES__ RAW DATA'!$A$2:$A$271,'KING TON SALES__ RAW DATA'!$G$2:$G$271)</f>
        <v>6000</v>
      </c>
      <c r="I105">
        <v>22</v>
      </c>
      <c r="J105" s="6">
        <f>_xlfn.XLOOKUP(E105,'KING TON SALES__ RAW DATA'!$A$2:$A$271,'KING TON SALES__ RAW DATA'!$I$2:$I$271)</f>
        <v>12000</v>
      </c>
      <c r="K105" s="6">
        <f t="shared" si="3"/>
        <v>132000</v>
      </c>
      <c r="L105" s="6">
        <f t="shared" si="4"/>
        <v>264000</v>
      </c>
      <c r="M105" s="6">
        <f t="shared" si="5"/>
        <v>132000</v>
      </c>
      <c r="N105" t="str">
        <f>_xlfn.XLOOKUP(E105,'KING TON SALES__ RAW DATA'!$A$2:$A$271,'KING TON SALES__ RAW DATA'!$M$2:$M$271)</f>
        <v>TRANSFER</v>
      </c>
    </row>
    <row r="106" spans="1:14">
      <c r="A106" s="7">
        <v>6767</v>
      </c>
      <c r="B106" s="8">
        <v>46215</v>
      </c>
      <c r="C106" t="s">
        <v>19</v>
      </c>
      <c r="D106" t="s">
        <v>23</v>
      </c>
      <c r="E106" t="s">
        <v>91</v>
      </c>
      <c r="F106" t="str">
        <f>_xlfn.XLOOKUP(E106,'KING TON SALES__ RAW DATA'!$A$2:$A$271,'KING TON SALES__ RAW DATA'!$B$2:$B$271)</f>
        <v>SNAKE (Tiny) WIRE</v>
      </c>
      <c r="G106" t="str">
        <f>_xlfn.XLOOKUP(E106,'KING TON SALES__ RAW DATA'!$A$2:$A$271,'KING TON SALES__ RAW DATA'!$D$2:$D$271)</f>
        <v>WIRE</v>
      </c>
      <c r="H106" s="6">
        <f>_xlfn.XLOOKUP(E106,'KING TON SALES__ RAW DATA'!$A$2:$A$271,'KING TON SALES__ RAW DATA'!$G$2:$G$271)</f>
        <v>20000</v>
      </c>
      <c r="I106">
        <v>19</v>
      </c>
      <c r="J106" s="6">
        <f>_xlfn.XLOOKUP(E106,'KING TON SALES__ RAW DATA'!$A$2:$A$271,'KING TON SALES__ RAW DATA'!$I$2:$I$271)</f>
        <v>30000</v>
      </c>
      <c r="K106" s="6">
        <f t="shared" si="3"/>
        <v>380000</v>
      </c>
      <c r="L106" s="6">
        <f t="shared" si="4"/>
        <v>570000</v>
      </c>
      <c r="M106" s="6">
        <f t="shared" si="5"/>
        <v>190000</v>
      </c>
      <c r="N106" t="str">
        <f>_xlfn.XLOOKUP(E106,'KING TON SALES__ RAW DATA'!$A$2:$A$271,'KING TON SALES__ RAW DATA'!$M$2:$M$271)</f>
        <v>CASH</v>
      </c>
    </row>
    <row r="107" spans="1:14">
      <c r="A107" s="7">
        <v>6768</v>
      </c>
      <c r="B107" s="8">
        <v>46210</v>
      </c>
      <c r="C107" t="s">
        <v>19</v>
      </c>
      <c r="D107" t="s">
        <v>23</v>
      </c>
      <c r="E107" t="s">
        <v>146</v>
      </c>
      <c r="F107" t="str">
        <f>_xlfn.XLOOKUP(E107,'KING TON SALES__ RAW DATA'!$A$2:$A$271,'KING TON SALES__ RAW DATA'!$B$2:$B$271)</f>
        <v>BENJOR EXTENTION 8 MOUTH</v>
      </c>
      <c r="G107" t="str">
        <f>_xlfn.XLOOKUP(E107,'KING TON SALES__ RAW DATA'!$A$2:$A$271,'KING TON SALES__ RAW DATA'!$D$2:$D$271)</f>
        <v>ELECTRICAL</v>
      </c>
      <c r="H107" s="6">
        <f>_xlfn.XLOOKUP(E107,'KING TON SALES__ RAW DATA'!$A$2:$A$271,'KING TON SALES__ RAW DATA'!$G$2:$G$271)</f>
        <v>6000</v>
      </c>
      <c r="I107">
        <v>22</v>
      </c>
      <c r="J107" s="6">
        <f>_xlfn.XLOOKUP(E107,'KING TON SALES__ RAW DATA'!$A$2:$A$271,'KING TON SALES__ RAW DATA'!$I$2:$I$271)</f>
        <v>12000</v>
      </c>
      <c r="K107" s="6">
        <f t="shared" si="3"/>
        <v>132000</v>
      </c>
      <c r="L107" s="6">
        <f t="shared" si="4"/>
        <v>264000</v>
      </c>
      <c r="M107" s="6">
        <f t="shared" si="5"/>
        <v>132000</v>
      </c>
      <c r="N107" t="str">
        <f>_xlfn.XLOOKUP(E107,'KING TON SALES__ RAW DATA'!$A$2:$A$271,'KING TON SALES__ RAW DATA'!$M$2:$M$271)</f>
        <v>TRANSFER</v>
      </c>
    </row>
    <row r="108" spans="1:14">
      <c r="A108" s="7">
        <v>6769</v>
      </c>
      <c r="B108" s="8">
        <v>46245</v>
      </c>
      <c r="C108" t="s">
        <v>33</v>
      </c>
      <c r="D108" t="s">
        <v>23</v>
      </c>
      <c r="E108" t="s">
        <v>126</v>
      </c>
      <c r="F108" t="str">
        <f>_xlfn.XLOOKUP(E108,'KING TON SALES__ RAW DATA'!$A$2:$A$271,'KING TON SALES__ RAW DATA'!$B$2:$B$271)</f>
        <v>BIG GENERATOR PLUG HEAD</v>
      </c>
      <c r="G108" t="str">
        <f>_xlfn.XLOOKUP(E108,'KING TON SALES__ RAW DATA'!$A$2:$A$271,'KING TON SALES__ RAW DATA'!$D$2:$D$271)</f>
        <v>ELECTRICAL</v>
      </c>
      <c r="H108" s="6">
        <f>_xlfn.XLOOKUP(E108,'KING TON SALES__ RAW DATA'!$A$2:$A$271,'KING TON SALES__ RAW DATA'!$G$2:$G$271)</f>
        <v>200</v>
      </c>
      <c r="I108">
        <v>19</v>
      </c>
      <c r="J108" s="6">
        <f>_xlfn.XLOOKUP(E108,'KING TON SALES__ RAW DATA'!$A$2:$A$271,'KING TON SALES__ RAW DATA'!$I$2:$I$271)</f>
        <v>500</v>
      </c>
      <c r="K108" s="6">
        <f t="shared" si="3"/>
        <v>3800</v>
      </c>
      <c r="L108" s="6">
        <f t="shared" si="4"/>
        <v>9500</v>
      </c>
      <c r="M108" s="6">
        <f t="shared" si="5"/>
        <v>5700</v>
      </c>
      <c r="N108" t="str">
        <f>_xlfn.XLOOKUP(E108,'KING TON SALES__ RAW DATA'!$A$2:$A$271,'KING TON SALES__ RAW DATA'!$M$2:$M$271)</f>
        <v>POS</v>
      </c>
    </row>
    <row r="109" spans="1:14">
      <c r="A109" s="7">
        <v>6770</v>
      </c>
      <c r="B109" s="8">
        <v>46230</v>
      </c>
      <c r="C109" t="s">
        <v>19</v>
      </c>
      <c r="D109" t="s">
        <v>23</v>
      </c>
      <c r="E109" t="s">
        <v>91</v>
      </c>
      <c r="F109" t="str">
        <f>_xlfn.XLOOKUP(E109,'KING TON SALES__ RAW DATA'!$A$2:$A$271,'KING TON SALES__ RAW DATA'!$B$2:$B$271)</f>
        <v>SNAKE (Tiny) WIRE</v>
      </c>
      <c r="G109" t="str">
        <f>_xlfn.XLOOKUP(E109,'KING TON SALES__ RAW DATA'!$A$2:$A$271,'KING TON SALES__ RAW DATA'!$D$2:$D$271)</f>
        <v>WIRE</v>
      </c>
      <c r="H109" s="6">
        <f>_xlfn.XLOOKUP(E109,'KING TON SALES__ RAW DATA'!$A$2:$A$271,'KING TON SALES__ RAW DATA'!$G$2:$G$271)</f>
        <v>20000</v>
      </c>
      <c r="I109">
        <v>20</v>
      </c>
      <c r="J109" s="6">
        <f>_xlfn.XLOOKUP(E109,'KING TON SALES__ RAW DATA'!$A$2:$A$271,'KING TON SALES__ RAW DATA'!$I$2:$I$271)</f>
        <v>30000</v>
      </c>
      <c r="K109" s="6">
        <f t="shared" si="3"/>
        <v>400000</v>
      </c>
      <c r="L109" s="6">
        <f t="shared" si="4"/>
        <v>600000</v>
      </c>
      <c r="M109" s="6">
        <f t="shared" si="5"/>
        <v>200000</v>
      </c>
      <c r="N109" t="str">
        <f>_xlfn.XLOOKUP(E109,'KING TON SALES__ RAW DATA'!$A$2:$A$271,'KING TON SALES__ RAW DATA'!$M$2:$M$271)</f>
        <v>CASH</v>
      </c>
    </row>
    <row r="110" spans="1:14">
      <c r="A110" s="7">
        <v>6771</v>
      </c>
      <c r="B110" s="8">
        <v>46264</v>
      </c>
      <c r="C110" t="s">
        <v>36</v>
      </c>
      <c r="D110" t="s">
        <v>18</v>
      </c>
      <c r="E110" t="s">
        <v>34</v>
      </c>
      <c r="F110" t="str">
        <f>_xlfn.XLOOKUP(E110,'KING TON SALES__ RAW DATA'!$A$2:$A$271,'KING TON SALES__ RAW DATA'!$B$2:$B$271)</f>
        <v>JACK TO JACK (1.5m) WIRE</v>
      </c>
      <c r="G110" t="str">
        <f>_xlfn.XLOOKUP(E110,'KING TON SALES__ RAW DATA'!$A$2:$A$271,'KING TON SALES__ RAW DATA'!$D$2:$D$271)</f>
        <v>WIRE</v>
      </c>
      <c r="H110" s="6">
        <f>_xlfn.XLOOKUP(E110,'KING TON SALES__ RAW DATA'!$A$2:$A$271,'KING TON SALES__ RAW DATA'!$G$2:$G$271)</f>
        <v>600</v>
      </c>
      <c r="I110">
        <v>18</v>
      </c>
      <c r="J110" s="6">
        <f>_xlfn.XLOOKUP(E110,'KING TON SALES__ RAW DATA'!$A$2:$A$271,'KING TON SALES__ RAW DATA'!$I$2:$I$271)</f>
        <v>1500</v>
      </c>
      <c r="K110" s="6">
        <f t="shared" si="3"/>
        <v>10800</v>
      </c>
      <c r="L110" s="6">
        <f t="shared" si="4"/>
        <v>27000</v>
      </c>
      <c r="M110" s="6">
        <f t="shared" si="5"/>
        <v>16200</v>
      </c>
      <c r="N110" t="str">
        <f>_xlfn.XLOOKUP(E110,'KING TON SALES__ RAW DATA'!$A$2:$A$271,'KING TON SALES__ RAW DATA'!$M$2:$M$271)</f>
        <v>POS</v>
      </c>
    </row>
    <row r="111" spans="1:14">
      <c r="A111" s="7">
        <v>6772</v>
      </c>
      <c r="B111" s="8">
        <v>46242</v>
      </c>
      <c r="C111" t="s">
        <v>36</v>
      </c>
      <c r="D111" t="s">
        <v>23</v>
      </c>
      <c r="E111" t="s">
        <v>132</v>
      </c>
      <c r="F111" t="str">
        <f>_xlfn.XLOOKUP(E111,'KING TON SALES__ RAW DATA'!$A$2:$A$271,'KING TON SALES__ RAW DATA'!$B$2:$B$271)</f>
        <v>ORANGE MULTI</v>
      </c>
      <c r="G111" t="str">
        <f>_xlfn.XLOOKUP(E111,'KING TON SALES__ RAW DATA'!$A$2:$A$271,'KING TON SALES__ RAW DATA'!$D$2:$D$271)</f>
        <v>ELECTRICAL</v>
      </c>
      <c r="H111" s="6">
        <f>_xlfn.XLOOKUP(E111,'KING TON SALES__ RAW DATA'!$A$2:$A$271,'KING TON SALES__ RAW DATA'!$G$2:$G$271)</f>
        <v>700</v>
      </c>
      <c r="I111">
        <v>18</v>
      </c>
      <c r="J111" s="6">
        <f>_xlfn.XLOOKUP(E111,'KING TON SALES__ RAW DATA'!$A$2:$A$271,'KING TON SALES__ RAW DATA'!$I$2:$I$271)</f>
        <v>1000</v>
      </c>
      <c r="K111" s="6">
        <f t="shared" si="3"/>
        <v>12600</v>
      </c>
      <c r="L111" s="6">
        <f t="shared" si="4"/>
        <v>18000</v>
      </c>
      <c r="M111" s="6">
        <f t="shared" si="5"/>
        <v>5400</v>
      </c>
      <c r="N111" t="str">
        <f>_xlfn.XLOOKUP(E111,'KING TON SALES__ RAW DATA'!$A$2:$A$271,'KING TON SALES__ RAW DATA'!$M$2:$M$271)</f>
        <v>POS</v>
      </c>
    </row>
    <row r="112" spans="1:14">
      <c r="A112" s="7">
        <v>6773</v>
      </c>
      <c r="B112" s="8">
        <v>46212</v>
      </c>
      <c r="C112" t="s">
        <v>36</v>
      </c>
      <c r="D112" t="s">
        <v>23</v>
      </c>
      <c r="E112" t="s">
        <v>39</v>
      </c>
      <c r="F112" t="str">
        <f>_xlfn.XLOOKUP(E112,'KING TON SALES__ RAW DATA'!$A$2:$A$271,'KING TON SALES__ RAW DATA'!$B$2:$B$271)</f>
        <v>3 TO 3 AV (5m) WIRE</v>
      </c>
      <c r="G112" t="str">
        <f>_xlfn.XLOOKUP(E112,'KING TON SALES__ RAW DATA'!$A$2:$A$271,'KING TON SALES__ RAW DATA'!$D$2:$D$271)</f>
        <v>WIRE</v>
      </c>
      <c r="H112" s="6">
        <f>_xlfn.XLOOKUP(E112,'KING TON SALES__ RAW DATA'!$A$2:$A$271,'KING TON SALES__ RAW DATA'!$G$2:$G$271)</f>
        <v>1200</v>
      </c>
      <c r="I112">
        <v>19</v>
      </c>
      <c r="J112" s="6">
        <f>_xlfn.XLOOKUP(E112,'KING TON SALES__ RAW DATA'!$A$2:$A$271,'KING TON SALES__ RAW DATA'!$I$2:$I$271)</f>
        <v>2500</v>
      </c>
      <c r="K112" s="6">
        <f t="shared" si="3"/>
        <v>22800</v>
      </c>
      <c r="L112" s="6">
        <f t="shared" si="4"/>
        <v>47500</v>
      </c>
      <c r="M112" s="6">
        <f t="shared" si="5"/>
        <v>24700</v>
      </c>
      <c r="N112" t="str">
        <f>_xlfn.XLOOKUP(E112,'KING TON SALES__ RAW DATA'!$A$2:$A$271,'KING TON SALES__ RAW DATA'!$M$2:$M$271)</f>
        <v>POS</v>
      </c>
    </row>
    <row r="113" spans="1:14">
      <c r="A113" s="7">
        <v>6774</v>
      </c>
      <c r="B113" s="8">
        <v>46247</v>
      </c>
      <c r="C113" t="s">
        <v>43</v>
      </c>
      <c r="D113" t="s">
        <v>18</v>
      </c>
      <c r="E113" t="s">
        <v>41</v>
      </c>
      <c r="F113" t="str">
        <f>_xlfn.XLOOKUP(E113,'KING TON SALES__ RAW DATA'!$A$2:$A$271,'KING TON SALES__ RAW DATA'!$B$2:$B$271)</f>
        <v>3 TO 3 AV (10m) WIRE</v>
      </c>
      <c r="G113" t="str">
        <f>_xlfn.XLOOKUP(E113,'KING TON SALES__ RAW DATA'!$A$2:$A$271,'KING TON SALES__ RAW DATA'!$D$2:$D$271)</f>
        <v>WIRE</v>
      </c>
      <c r="H113" s="6">
        <f>_xlfn.XLOOKUP(E113,'KING TON SALES__ RAW DATA'!$A$2:$A$271,'KING TON SALES__ RAW DATA'!$G$2:$G$271)</f>
        <v>1500</v>
      </c>
      <c r="I113">
        <v>17</v>
      </c>
      <c r="J113" s="6">
        <f>_xlfn.XLOOKUP(E113,'KING TON SALES__ RAW DATA'!$A$2:$A$271,'KING TON SALES__ RAW DATA'!$I$2:$I$271)</f>
        <v>3500</v>
      </c>
      <c r="K113" s="6">
        <f t="shared" si="3"/>
        <v>25500</v>
      </c>
      <c r="L113" s="6">
        <f t="shared" si="4"/>
        <v>59500</v>
      </c>
      <c r="M113" s="6">
        <f t="shared" si="5"/>
        <v>34000</v>
      </c>
      <c r="N113" t="str">
        <f>_xlfn.XLOOKUP(E113,'KING TON SALES__ RAW DATA'!$A$2:$A$271,'KING TON SALES__ RAW DATA'!$M$2:$M$271)</f>
        <v>POS</v>
      </c>
    </row>
    <row r="114" spans="1:14">
      <c r="A114" s="7">
        <v>6775</v>
      </c>
      <c r="B114" s="8">
        <v>46205</v>
      </c>
      <c r="C114" t="s">
        <v>19</v>
      </c>
      <c r="D114" t="s">
        <v>23</v>
      </c>
      <c r="E114" t="s">
        <v>154</v>
      </c>
      <c r="F114" t="str">
        <f>_xlfn.XLOOKUP(E114,'KING TON SALES__ RAW DATA'!$A$2:$A$271,'KING TON SALES__ RAW DATA'!$B$2:$B$271)</f>
        <v>HI/WATT 9v BATTERY</v>
      </c>
      <c r="G114" t="str">
        <f>_xlfn.XLOOKUP(E114,'KING TON SALES__ RAW DATA'!$A$2:$A$271,'KING TON SALES__ RAW DATA'!$D$2:$D$271)</f>
        <v>BATTERY</v>
      </c>
      <c r="H114" s="6">
        <f>_xlfn.XLOOKUP(E114,'KING TON SALES__ RAW DATA'!$A$2:$A$271,'KING TON SALES__ RAW DATA'!$G$2:$G$271)</f>
        <v>250</v>
      </c>
      <c r="I114">
        <v>18</v>
      </c>
      <c r="J114" s="6">
        <f>_xlfn.XLOOKUP(E114,'KING TON SALES__ RAW DATA'!$A$2:$A$271,'KING TON SALES__ RAW DATA'!$I$2:$I$271)</f>
        <v>500</v>
      </c>
      <c r="K114" s="6">
        <f t="shared" si="3"/>
        <v>4500</v>
      </c>
      <c r="L114" s="6">
        <f t="shared" si="4"/>
        <v>9000</v>
      </c>
      <c r="M114" s="6">
        <f t="shared" si="5"/>
        <v>4500</v>
      </c>
      <c r="N114" t="str">
        <f>_xlfn.XLOOKUP(E114,'KING TON SALES__ RAW DATA'!$A$2:$A$271,'KING TON SALES__ RAW DATA'!$M$2:$M$271)</f>
        <v>POS</v>
      </c>
    </row>
    <row r="115" spans="1:14">
      <c r="A115" s="7">
        <v>6776</v>
      </c>
      <c r="B115" s="8">
        <v>46208</v>
      </c>
      <c r="C115" t="s">
        <v>19</v>
      </c>
      <c r="D115" t="s">
        <v>18</v>
      </c>
      <c r="E115" t="s">
        <v>118</v>
      </c>
      <c r="F115" t="str">
        <f>_xlfn.XLOOKUP(E115,'KING TON SALES__ RAW DATA'!$A$2:$A$271,'KING TON SALES__ RAW DATA'!$B$2:$B$271)</f>
        <v>13 AMPS SINGLE SOCKET BENJOR</v>
      </c>
      <c r="G115" t="str">
        <f>_xlfn.XLOOKUP(E115,'KING TON SALES__ RAW DATA'!$A$2:$A$271,'KING TON SALES__ RAW DATA'!$D$2:$D$271)</f>
        <v>ELECTRICAL</v>
      </c>
      <c r="H115" s="6">
        <f>_xlfn.XLOOKUP(E115,'KING TON SALES__ RAW DATA'!$A$2:$A$271,'KING TON SALES__ RAW DATA'!$G$2:$G$271)</f>
        <v>800</v>
      </c>
      <c r="I115">
        <v>18</v>
      </c>
      <c r="J115" s="6">
        <f>_xlfn.XLOOKUP(E115,'KING TON SALES__ RAW DATA'!$A$2:$A$271,'KING TON SALES__ RAW DATA'!$I$2:$I$271)</f>
        <v>1500</v>
      </c>
      <c r="K115" s="6">
        <f t="shared" si="3"/>
        <v>14400</v>
      </c>
      <c r="L115" s="6">
        <f t="shared" si="4"/>
        <v>27000</v>
      </c>
      <c r="M115" s="6">
        <f t="shared" si="5"/>
        <v>12600</v>
      </c>
      <c r="N115" t="str">
        <f>_xlfn.XLOOKUP(E115,'KING TON SALES__ RAW DATA'!$A$2:$A$271,'KING TON SALES__ RAW DATA'!$M$2:$M$271)</f>
        <v>CASH</v>
      </c>
    </row>
    <row r="116" spans="1:14">
      <c r="A116" s="7">
        <v>6777</v>
      </c>
      <c r="B116" s="8">
        <v>46245</v>
      </c>
      <c r="C116" t="s">
        <v>43</v>
      </c>
      <c r="D116" t="s">
        <v>18</v>
      </c>
      <c r="E116" t="s">
        <v>41</v>
      </c>
      <c r="F116" t="str">
        <f>_xlfn.XLOOKUP(E116,'KING TON SALES__ RAW DATA'!$A$2:$A$271,'KING TON SALES__ RAW DATA'!$B$2:$B$271)</f>
        <v>3 TO 3 AV (10m) WIRE</v>
      </c>
      <c r="G116" t="str">
        <f>_xlfn.XLOOKUP(E116,'KING TON SALES__ RAW DATA'!$A$2:$A$271,'KING TON SALES__ RAW DATA'!$D$2:$D$271)</f>
        <v>WIRE</v>
      </c>
      <c r="H116" s="6">
        <f>_xlfn.XLOOKUP(E116,'KING TON SALES__ RAW DATA'!$A$2:$A$271,'KING TON SALES__ RAW DATA'!$G$2:$G$271)</f>
        <v>1500</v>
      </c>
      <c r="I116">
        <v>24</v>
      </c>
      <c r="J116" s="6">
        <f>_xlfn.XLOOKUP(E116,'KING TON SALES__ RAW DATA'!$A$2:$A$271,'KING TON SALES__ RAW DATA'!$I$2:$I$271)</f>
        <v>3500</v>
      </c>
      <c r="K116" s="6">
        <f t="shared" si="3"/>
        <v>36000</v>
      </c>
      <c r="L116" s="6">
        <f t="shared" si="4"/>
        <v>84000</v>
      </c>
      <c r="M116" s="6">
        <f t="shared" si="5"/>
        <v>48000</v>
      </c>
      <c r="N116" t="str">
        <f>_xlfn.XLOOKUP(E116,'KING TON SALES__ RAW DATA'!$A$2:$A$271,'KING TON SALES__ RAW DATA'!$M$2:$M$271)</f>
        <v>POS</v>
      </c>
    </row>
    <row r="117" spans="1:14">
      <c r="A117" s="7">
        <v>6778</v>
      </c>
      <c r="B117" s="8">
        <v>46262</v>
      </c>
      <c r="C117" t="s">
        <v>19</v>
      </c>
      <c r="D117" t="s">
        <v>18</v>
      </c>
      <c r="E117" t="s">
        <v>77</v>
      </c>
      <c r="F117" t="str">
        <f>_xlfn.XLOOKUP(E117,'KING TON SALES__ RAW DATA'!$A$2:$A$271,'KING TON SALES__ RAW DATA'!$B$2:$B$271)</f>
        <v>BLUE 4K HDMI (5m) WIRE</v>
      </c>
      <c r="G117" t="str">
        <f>_xlfn.XLOOKUP(E117,'KING TON SALES__ RAW DATA'!$A$2:$A$271,'KING TON SALES__ RAW DATA'!$D$2:$D$271)</f>
        <v>WIRE</v>
      </c>
      <c r="H117" s="6">
        <f>_xlfn.XLOOKUP(E117,'KING TON SALES__ RAW DATA'!$A$2:$A$271,'KING TON SALES__ RAW DATA'!$G$2:$G$271)</f>
        <v>3500</v>
      </c>
      <c r="I117">
        <v>23</v>
      </c>
      <c r="J117" s="6">
        <f>_xlfn.XLOOKUP(E117,'KING TON SALES__ RAW DATA'!$A$2:$A$271,'KING TON SALES__ RAW DATA'!$I$2:$I$271)</f>
        <v>8000</v>
      </c>
      <c r="K117" s="6">
        <f t="shared" si="3"/>
        <v>80500</v>
      </c>
      <c r="L117" s="6">
        <f t="shared" si="4"/>
        <v>184000</v>
      </c>
      <c r="M117" s="6">
        <f t="shared" si="5"/>
        <v>103500</v>
      </c>
      <c r="N117" t="str">
        <f>_xlfn.XLOOKUP(E117,'KING TON SALES__ RAW DATA'!$A$2:$A$271,'KING TON SALES__ RAW DATA'!$M$2:$M$271)</f>
        <v>TRANSFER</v>
      </c>
    </row>
    <row r="118" spans="1:14">
      <c r="A118" s="7">
        <v>6779</v>
      </c>
      <c r="B118" s="8">
        <v>46226</v>
      </c>
      <c r="C118" t="s">
        <v>19</v>
      </c>
      <c r="D118" t="s">
        <v>23</v>
      </c>
      <c r="E118" t="s">
        <v>59</v>
      </c>
      <c r="F118" t="str">
        <f>_xlfn.XLOOKUP(E118,'KING TON SALES__ RAW DATA'!$A$2:$A$271,'KING TON SALES__ RAW DATA'!$B$2:$B$271)</f>
        <v>HDMI (30m) WIRE</v>
      </c>
      <c r="G118" t="str">
        <f>_xlfn.XLOOKUP(E118,'KING TON SALES__ RAW DATA'!$A$2:$A$271,'KING TON SALES__ RAW DATA'!$D$2:$D$271)</f>
        <v>WIRE</v>
      </c>
      <c r="H118" s="6">
        <f>_xlfn.XLOOKUP(E118,'KING TON SALES__ RAW DATA'!$A$2:$A$271,'KING TON SALES__ RAW DATA'!$G$2:$G$271)</f>
        <v>10000</v>
      </c>
      <c r="I118">
        <v>21</v>
      </c>
      <c r="J118" s="6">
        <f>_xlfn.XLOOKUP(E118,'KING TON SALES__ RAW DATA'!$A$2:$A$271,'KING TON SALES__ RAW DATA'!$I$2:$I$271)</f>
        <v>15000</v>
      </c>
      <c r="K118" s="6">
        <f t="shared" si="3"/>
        <v>210000</v>
      </c>
      <c r="L118" s="6">
        <f t="shared" si="4"/>
        <v>315000</v>
      </c>
      <c r="M118" s="6">
        <f t="shared" si="5"/>
        <v>105000</v>
      </c>
      <c r="N118" t="str">
        <f>_xlfn.XLOOKUP(E118,'KING TON SALES__ RAW DATA'!$A$2:$A$271,'KING TON SALES__ RAW DATA'!$M$2:$M$271)</f>
        <v>TRANSFER</v>
      </c>
    </row>
    <row r="119" spans="1:14">
      <c r="A119" s="7">
        <v>6780</v>
      </c>
      <c r="B119" s="8">
        <v>46256</v>
      </c>
      <c r="C119" t="s">
        <v>19</v>
      </c>
      <c r="D119" t="s">
        <v>18</v>
      </c>
      <c r="E119" t="s">
        <v>28</v>
      </c>
      <c r="F119" t="str">
        <f>_xlfn.XLOOKUP(E119,'KING TON SALES__ RAW DATA'!$A$2:$A$271,'KING TON SALES__ RAW DATA'!$B$2:$B$271)</f>
        <v>1 TO 1 AUX (1.5m) WIRE</v>
      </c>
      <c r="G119" t="str">
        <f>_xlfn.XLOOKUP(E119,'KING TON SALES__ RAW DATA'!$A$2:$A$271,'KING TON SALES__ RAW DATA'!$D$2:$D$271)</f>
        <v>WIRE</v>
      </c>
      <c r="H119" s="6">
        <f>_xlfn.XLOOKUP(E119,'KING TON SALES__ RAW DATA'!$A$2:$A$271,'KING TON SALES__ RAW DATA'!$G$2:$G$271)</f>
        <v>500</v>
      </c>
      <c r="I119">
        <v>21</v>
      </c>
      <c r="J119" s="6">
        <f>_xlfn.XLOOKUP(E119,'KING TON SALES__ RAW DATA'!$A$2:$A$271,'KING TON SALES__ RAW DATA'!$I$2:$I$271)</f>
        <v>1000</v>
      </c>
      <c r="K119" s="6">
        <f t="shared" si="3"/>
        <v>10500</v>
      </c>
      <c r="L119" s="6">
        <f t="shared" si="4"/>
        <v>21000</v>
      </c>
      <c r="M119" s="6">
        <f t="shared" si="5"/>
        <v>10500</v>
      </c>
      <c r="N119" t="str">
        <f>_xlfn.XLOOKUP(E119,'KING TON SALES__ RAW DATA'!$A$2:$A$271,'KING TON SALES__ RAW DATA'!$M$2:$M$271)</f>
        <v>TRANSFER</v>
      </c>
    </row>
    <row r="120" spans="1:14">
      <c r="A120" s="7">
        <v>6781</v>
      </c>
      <c r="B120" s="8">
        <v>46238</v>
      </c>
      <c r="C120" t="s">
        <v>33</v>
      </c>
      <c r="D120" t="s">
        <v>23</v>
      </c>
      <c r="E120" t="s">
        <v>65</v>
      </c>
      <c r="F120" t="str">
        <f>_xlfn.XLOOKUP(E120,'KING TON SALES__ RAW DATA'!$A$2:$A$271,'KING TON SALES__ RAW DATA'!$B$2:$B$271)</f>
        <v>4K HDMI (10m) WIRE</v>
      </c>
      <c r="G120" t="str">
        <f>_xlfn.XLOOKUP(E120,'KING TON SALES__ RAW DATA'!$A$2:$A$271,'KING TON SALES__ RAW DATA'!$D$2:$D$271)</f>
        <v>WIRE</v>
      </c>
      <c r="H120" s="6">
        <f>_xlfn.XLOOKUP(E120,'KING TON SALES__ RAW DATA'!$A$2:$A$271,'KING TON SALES__ RAW DATA'!$G$2:$G$271)</f>
        <v>5000</v>
      </c>
      <c r="I120">
        <v>20</v>
      </c>
      <c r="J120" s="6">
        <f>_xlfn.XLOOKUP(E120,'KING TON SALES__ RAW DATA'!$A$2:$A$271,'KING TON SALES__ RAW DATA'!$I$2:$I$271)</f>
        <v>15000</v>
      </c>
      <c r="K120" s="6">
        <f t="shared" si="3"/>
        <v>100000</v>
      </c>
      <c r="L120" s="6">
        <f t="shared" si="4"/>
        <v>300000</v>
      </c>
      <c r="M120" s="6">
        <f t="shared" si="5"/>
        <v>200000</v>
      </c>
      <c r="N120" t="str">
        <f>_xlfn.XLOOKUP(E120,'KING TON SALES__ RAW DATA'!$A$2:$A$271,'KING TON SALES__ RAW DATA'!$M$2:$M$271)</f>
        <v>CASH</v>
      </c>
    </row>
    <row r="121" spans="1:14">
      <c r="A121" s="7">
        <v>6782</v>
      </c>
      <c r="B121" s="8">
        <v>46217</v>
      </c>
      <c r="C121" t="s">
        <v>43</v>
      </c>
      <c r="D121" t="s">
        <v>23</v>
      </c>
      <c r="E121" t="s">
        <v>44</v>
      </c>
      <c r="F121" t="str">
        <f>_xlfn.XLOOKUP(E121,'KING TON SALES__ RAW DATA'!$A$2:$A$271,'KING TON SALES__ RAW DATA'!$B$2:$B$271)</f>
        <v>3 TO 3 AV (15m) WIRE</v>
      </c>
      <c r="G121" t="str">
        <f>_xlfn.XLOOKUP(E121,'KING TON SALES__ RAW DATA'!$A$2:$A$271,'KING TON SALES__ RAW DATA'!$D$2:$D$271)</f>
        <v>WIRE</v>
      </c>
      <c r="H121" s="6">
        <f>_xlfn.XLOOKUP(E121,'KING TON SALES__ RAW DATA'!$A$2:$A$271,'KING TON SALES__ RAW DATA'!$G$2:$G$271)</f>
        <v>2500</v>
      </c>
      <c r="I121">
        <v>17</v>
      </c>
      <c r="J121" s="6">
        <f>_xlfn.XLOOKUP(E121,'KING TON SALES__ RAW DATA'!$A$2:$A$271,'KING TON SALES__ RAW DATA'!$I$2:$I$271)</f>
        <v>5000</v>
      </c>
      <c r="K121" s="6">
        <f t="shared" si="3"/>
        <v>42500</v>
      </c>
      <c r="L121" s="6">
        <f t="shared" si="4"/>
        <v>85000</v>
      </c>
      <c r="M121" s="6">
        <f t="shared" si="5"/>
        <v>42500</v>
      </c>
      <c r="N121" t="str">
        <f>_xlfn.XLOOKUP(E121,'KING TON SALES__ RAW DATA'!$A$2:$A$271,'KING TON SALES__ RAW DATA'!$M$2:$M$271)</f>
        <v>POS</v>
      </c>
    </row>
    <row r="122" spans="1:14">
      <c r="A122" s="7">
        <v>6783</v>
      </c>
      <c r="B122" s="8">
        <v>46227</v>
      </c>
      <c r="C122" t="s">
        <v>19</v>
      </c>
      <c r="D122" t="s">
        <v>23</v>
      </c>
      <c r="E122" t="s">
        <v>99</v>
      </c>
      <c r="F122" t="str">
        <f>_xlfn.XLOOKUP(E122,'KING TON SALES__ RAW DATA'!$A$2:$A$271,'KING TON SALES__ RAW DATA'!$B$2:$B$271)</f>
        <v>CAT 4 WIRE</v>
      </c>
      <c r="G122" t="str">
        <f>_xlfn.XLOOKUP(E122,'KING TON SALES__ RAW DATA'!$A$2:$A$271,'KING TON SALES__ RAW DATA'!$D$2:$D$271)</f>
        <v>WIRE</v>
      </c>
      <c r="H122" s="6">
        <f>_xlfn.XLOOKUP(E122,'KING TON SALES__ RAW DATA'!$A$2:$A$271,'KING TON SALES__ RAW DATA'!$G$2:$G$271)</f>
        <v>12000</v>
      </c>
      <c r="I122">
        <v>20</v>
      </c>
      <c r="J122" s="6">
        <f>_xlfn.XLOOKUP(E122,'KING TON SALES__ RAW DATA'!$A$2:$A$271,'KING TON SALES__ RAW DATA'!$I$2:$I$271)</f>
        <v>20000</v>
      </c>
      <c r="K122" s="6">
        <f t="shared" si="3"/>
        <v>240000</v>
      </c>
      <c r="L122" s="6">
        <f t="shared" si="4"/>
        <v>400000</v>
      </c>
      <c r="M122" s="6">
        <f t="shared" si="5"/>
        <v>160000</v>
      </c>
      <c r="N122" t="str">
        <f>_xlfn.XLOOKUP(E122,'KING TON SALES__ RAW DATA'!$A$2:$A$271,'KING TON SALES__ RAW DATA'!$M$2:$M$271)</f>
        <v>TRANSFER</v>
      </c>
    </row>
    <row r="123" spans="1:14">
      <c r="A123" s="7">
        <v>6784</v>
      </c>
      <c r="B123" s="8">
        <v>46219</v>
      </c>
      <c r="C123" t="s">
        <v>19</v>
      </c>
      <c r="D123" t="s">
        <v>18</v>
      </c>
      <c r="E123" t="s">
        <v>107</v>
      </c>
      <c r="F123" t="str">
        <f>_xlfn.XLOOKUP(E123,'KING TON SALES__ RAW DATA'!$A$2:$A$271,'KING TON SALES__ RAW DATA'!$B$2:$B$271)</f>
        <v>FEMLE TO FEMALE USB (1.5m)</v>
      </c>
      <c r="G123" t="str">
        <f>_xlfn.XLOOKUP(E123,'KING TON SALES__ RAW DATA'!$A$2:$A$271,'KING TON SALES__ RAW DATA'!$D$2:$D$271)</f>
        <v>WIRE</v>
      </c>
      <c r="H123" s="6">
        <f>_xlfn.XLOOKUP(E123,'KING TON SALES__ RAW DATA'!$A$2:$A$271,'KING TON SALES__ RAW DATA'!$G$2:$G$271)</f>
        <v>2500</v>
      </c>
      <c r="I123">
        <v>18</v>
      </c>
      <c r="J123" s="6">
        <f>_xlfn.XLOOKUP(E123,'KING TON SALES__ RAW DATA'!$A$2:$A$271,'KING TON SALES__ RAW DATA'!$I$2:$I$271)</f>
        <v>5000</v>
      </c>
      <c r="K123" s="6">
        <f t="shared" si="3"/>
        <v>45000</v>
      </c>
      <c r="L123" s="6">
        <f t="shared" si="4"/>
        <v>90000</v>
      </c>
      <c r="M123" s="6">
        <f t="shared" si="5"/>
        <v>45000</v>
      </c>
      <c r="N123" t="str">
        <f>_xlfn.XLOOKUP(E123,'KING TON SALES__ RAW DATA'!$A$2:$A$271,'KING TON SALES__ RAW DATA'!$M$2:$M$271)</f>
        <v>POS</v>
      </c>
    </row>
    <row r="124" spans="1:14">
      <c r="A124" s="7">
        <v>6785</v>
      </c>
      <c r="B124" s="8">
        <v>46260</v>
      </c>
      <c r="C124" t="s">
        <v>19</v>
      </c>
      <c r="D124" t="s">
        <v>23</v>
      </c>
      <c r="E124" t="s">
        <v>91</v>
      </c>
      <c r="F124" t="str">
        <f>_xlfn.XLOOKUP(E124,'KING TON SALES__ RAW DATA'!$A$2:$A$271,'KING TON SALES__ RAW DATA'!$B$2:$B$271)</f>
        <v>SNAKE (Tiny) WIRE</v>
      </c>
      <c r="G124" t="str">
        <f>_xlfn.XLOOKUP(E124,'KING TON SALES__ RAW DATA'!$A$2:$A$271,'KING TON SALES__ RAW DATA'!$D$2:$D$271)</f>
        <v>WIRE</v>
      </c>
      <c r="H124" s="6">
        <f>_xlfn.XLOOKUP(E124,'KING TON SALES__ RAW DATA'!$A$2:$A$271,'KING TON SALES__ RAW DATA'!$G$2:$G$271)</f>
        <v>20000</v>
      </c>
      <c r="I124">
        <v>20</v>
      </c>
      <c r="J124" s="6">
        <f>_xlfn.XLOOKUP(E124,'KING TON SALES__ RAW DATA'!$A$2:$A$271,'KING TON SALES__ RAW DATA'!$I$2:$I$271)</f>
        <v>30000</v>
      </c>
      <c r="K124" s="6">
        <f t="shared" si="3"/>
        <v>400000</v>
      </c>
      <c r="L124" s="6">
        <f t="shared" si="4"/>
        <v>600000</v>
      </c>
      <c r="M124" s="6">
        <f t="shared" si="5"/>
        <v>200000</v>
      </c>
      <c r="N124" t="str">
        <f>_xlfn.XLOOKUP(E124,'KING TON SALES__ RAW DATA'!$A$2:$A$271,'KING TON SALES__ RAW DATA'!$M$2:$M$271)</f>
        <v>CASH</v>
      </c>
    </row>
    <row r="125" spans="1:14">
      <c r="A125" s="7">
        <v>6786</v>
      </c>
      <c r="B125" s="8">
        <v>46224</v>
      </c>
      <c r="C125" t="s">
        <v>19</v>
      </c>
      <c r="D125" t="s">
        <v>23</v>
      </c>
      <c r="E125" t="s">
        <v>122</v>
      </c>
      <c r="F125" t="str">
        <f>_xlfn.XLOOKUP(E125,'KING TON SALES__ RAW DATA'!$A$2:$A$271,'KING TON SALES__ RAW DATA'!$B$2:$B$271)</f>
        <v>13 AMPS SINGLE SOCKET NEW</v>
      </c>
      <c r="G125" t="str">
        <f>_xlfn.XLOOKUP(E125,'KING TON SALES__ RAW DATA'!$A$2:$A$271,'KING TON SALES__ RAW DATA'!$D$2:$D$271)</f>
        <v>ELECTRICAL</v>
      </c>
      <c r="H125" s="6">
        <f>_xlfn.XLOOKUP(E125,'KING TON SALES__ RAW DATA'!$A$2:$A$271,'KING TON SALES__ RAW DATA'!$G$2:$G$271)</f>
        <v>500</v>
      </c>
      <c r="I125">
        <v>18</v>
      </c>
      <c r="J125" s="6">
        <f>_xlfn.XLOOKUP(E125,'KING TON SALES__ RAW DATA'!$A$2:$A$271,'KING TON SALES__ RAW DATA'!$I$2:$I$271)</f>
        <v>1000</v>
      </c>
      <c r="K125" s="6">
        <f t="shared" si="3"/>
        <v>9000</v>
      </c>
      <c r="L125" s="6">
        <f t="shared" si="4"/>
        <v>18000</v>
      </c>
      <c r="M125" s="6">
        <f t="shared" si="5"/>
        <v>9000</v>
      </c>
      <c r="N125" t="str">
        <f>_xlfn.XLOOKUP(E125,'KING TON SALES__ RAW DATA'!$A$2:$A$271,'KING TON SALES__ RAW DATA'!$M$2:$M$271)</f>
        <v>TRANSFER</v>
      </c>
    </row>
    <row r="126" spans="1:14">
      <c r="A126" s="7">
        <v>6787</v>
      </c>
      <c r="B126" s="8">
        <v>46210</v>
      </c>
      <c r="C126" t="s">
        <v>33</v>
      </c>
      <c r="D126" t="s">
        <v>23</v>
      </c>
      <c r="E126" t="s">
        <v>79</v>
      </c>
      <c r="F126" t="str">
        <f>_xlfn.XLOOKUP(E126,'KING TON SALES__ RAW DATA'!$A$2:$A$271,'KING TON SALES__ RAW DATA'!$B$2:$B$271)</f>
        <v>BLUE 4K HDMI (10m) WIRE</v>
      </c>
      <c r="G126" t="str">
        <f>_xlfn.XLOOKUP(E126,'KING TON SALES__ RAW DATA'!$A$2:$A$271,'KING TON SALES__ RAW DATA'!$D$2:$D$271)</f>
        <v>WIRE</v>
      </c>
      <c r="H126" s="6">
        <f>_xlfn.XLOOKUP(E126,'KING TON SALES__ RAW DATA'!$A$2:$A$271,'KING TON SALES__ RAW DATA'!$G$2:$G$271)</f>
        <v>6000</v>
      </c>
      <c r="I126">
        <v>18</v>
      </c>
      <c r="J126" s="6">
        <f>_xlfn.XLOOKUP(E126,'KING TON SALES__ RAW DATA'!$A$2:$A$271,'KING TON SALES__ RAW DATA'!$I$2:$I$271)</f>
        <v>12000</v>
      </c>
      <c r="K126" s="6">
        <f t="shared" si="3"/>
        <v>108000</v>
      </c>
      <c r="L126" s="6">
        <f t="shared" si="4"/>
        <v>216000</v>
      </c>
      <c r="M126" s="6">
        <f t="shared" si="5"/>
        <v>108000</v>
      </c>
      <c r="N126" t="str">
        <f>_xlfn.XLOOKUP(E126,'KING TON SALES__ RAW DATA'!$A$2:$A$271,'KING TON SALES__ RAW DATA'!$M$2:$M$271)</f>
        <v>TRANSFER</v>
      </c>
    </row>
    <row r="127" spans="1:14">
      <c r="A127" s="7">
        <v>6788</v>
      </c>
      <c r="B127" s="8">
        <v>46225</v>
      </c>
      <c r="C127" t="s">
        <v>19</v>
      </c>
      <c r="D127" t="s">
        <v>23</v>
      </c>
      <c r="E127" t="s">
        <v>89</v>
      </c>
      <c r="F127" t="str">
        <f>_xlfn.XLOOKUP(E127,'KING TON SALES__ RAW DATA'!$A$2:$A$271,'KING TON SALES__ RAW DATA'!$B$2:$B$271)</f>
        <v>DC TO FEMALE DC (1.5) WIRE</v>
      </c>
      <c r="G127" t="str">
        <f>_xlfn.XLOOKUP(E127,'KING TON SALES__ RAW DATA'!$A$2:$A$271,'KING TON SALES__ RAW DATA'!$D$2:$D$271)</f>
        <v>WIRE</v>
      </c>
      <c r="H127" s="6">
        <f>_xlfn.XLOOKUP(E127,'KING TON SALES__ RAW DATA'!$A$2:$A$271,'KING TON SALES__ RAW DATA'!$G$2:$G$271)</f>
        <v>500</v>
      </c>
      <c r="I127">
        <v>22</v>
      </c>
      <c r="J127" s="6">
        <f>_xlfn.XLOOKUP(E127,'KING TON SALES__ RAW DATA'!$A$2:$A$271,'KING TON SALES__ RAW DATA'!$I$2:$I$271)</f>
        <v>1500</v>
      </c>
      <c r="K127" s="6">
        <f t="shared" si="3"/>
        <v>11000</v>
      </c>
      <c r="L127" s="6">
        <f t="shared" si="4"/>
        <v>33000</v>
      </c>
      <c r="M127" s="6">
        <f t="shared" si="5"/>
        <v>22000</v>
      </c>
      <c r="N127" t="str">
        <f>_xlfn.XLOOKUP(E127,'KING TON SALES__ RAW DATA'!$A$2:$A$271,'KING TON SALES__ RAW DATA'!$M$2:$M$271)</f>
        <v>POS</v>
      </c>
    </row>
    <row r="128" spans="1:14">
      <c r="A128" s="7">
        <v>6789</v>
      </c>
      <c r="B128" s="8">
        <v>46214</v>
      </c>
      <c r="C128" t="s">
        <v>19</v>
      </c>
      <c r="D128" t="s">
        <v>23</v>
      </c>
      <c r="E128" t="s">
        <v>69</v>
      </c>
      <c r="F128" t="str">
        <f>_xlfn.XLOOKUP(E128,'KING TON SALES__ RAW DATA'!$A$2:$A$271,'KING TON SALES__ RAW DATA'!$B$2:$B$271)</f>
        <v>4K HDMI (50m) WIRE</v>
      </c>
      <c r="G128" t="str">
        <f>_xlfn.XLOOKUP(E128,'KING TON SALES__ RAW DATA'!$A$2:$A$271,'KING TON SALES__ RAW DATA'!$D$2:$D$271)</f>
        <v>WIRE</v>
      </c>
      <c r="H128" s="6">
        <f>_xlfn.XLOOKUP(E128,'KING TON SALES__ RAW DATA'!$A$2:$A$271,'KING TON SALES__ RAW DATA'!$G$2:$G$271)</f>
        <v>30000</v>
      </c>
      <c r="I128">
        <v>23</v>
      </c>
      <c r="J128" s="6">
        <f>_xlfn.XLOOKUP(E128,'KING TON SALES__ RAW DATA'!$A$2:$A$271,'KING TON SALES__ RAW DATA'!$I$2:$I$271)</f>
        <v>45000</v>
      </c>
      <c r="K128" s="6">
        <f t="shared" si="3"/>
        <v>690000</v>
      </c>
      <c r="L128" s="6">
        <f t="shared" si="4"/>
        <v>1035000</v>
      </c>
      <c r="M128" s="6">
        <f t="shared" si="5"/>
        <v>345000</v>
      </c>
      <c r="N128" t="str">
        <f>_xlfn.XLOOKUP(E128,'KING TON SALES__ RAW DATA'!$A$2:$A$271,'KING TON SALES__ RAW DATA'!$M$2:$M$271)</f>
        <v>TRANSFER</v>
      </c>
    </row>
    <row r="129" spans="1:14">
      <c r="A129" s="7">
        <v>6790</v>
      </c>
      <c r="B129" s="8">
        <v>46252</v>
      </c>
      <c r="C129" t="s">
        <v>33</v>
      </c>
      <c r="D129" t="s">
        <v>23</v>
      </c>
      <c r="E129" t="s">
        <v>79</v>
      </c>
      <c r="F129" t="str">
        <f>_xlfn.XLOOKUP(E129,'KING TON SALES__ RAW DATA'!$A$2:$A$271,'KING TON SALES__ RAW DATA'!$B$2:$B$271)</f>
        <v>BLUE 4K HDMI (10m) WIRE</v>
      </c>
      <c r="G129" t="str">
        <f>_xlfn.XLOOKUP(E129,'KING TON SALES__ RAW DATA'!$A$2:$A$271,'KING TON SALES__ RAW DATA'!$D$2:$D$271)</f>
        <v>WIRE</v>
      </c>
      <c r="H129" s="6">
        <f>_xlfn.XLOOKUP(E129,'KING TON SALES__ RAW DATA'!$A$2:$A$271,'KING TON SALES__ RAW DATA'!$G$2:$G$271)</f>
        <v>6000</v>
      </c>
      <c r="I129">
        <v>24</v>
      </c>
      <c r="J129" s="6">
        <f>_xlfn.XLOOKUP(E129,'KING TON SALES__ RAW DATA'!$A$2:$A$271,'KING TON SALES__ RAW DATA'!$I$2:$I$271)</f>
        <v>12000</v>
      </c>
      <c r="K129" s="6">
        <f t="shared" si="3"/>
        <v>144000</v>
      </c>
      <c r="L129" s="6">
        <f t="shared" si="4"/>
        <v>288000</v>
      </c>
      <c r="M129" s="6">
        <f t="shared" si="5"/>
        <v>144000</v>
      </c>
      <c r="N129" t="str">
        <f>_xlfn.XLOOKUP(E129,'KING TON SALES__ RAW DATA'!$A$2:$A$271,'KING TON SALES__ RAW DATA'!$M$2:$M$271)</f>
        <v>TRANSFER</v>
      </c>
    </row>
    <row r="130" spans="1:14">
      <c r="A130" s="7">
        <v>6791</v>
      </c>
      <c r="B130" s="8">
        <v>46210</v>
      </c>
      <c r="C130" t="s">
        <v>36</v>
      </c>
      <c r="D130" t="s">
        <v>18</v>
      </c>
      <c r="E130" t="s">
        <v>97</v>
      </c>
      <c r="F130" t="str">
        <f>_xlfn.XLOOKUP(E130,'KING TON SALES__ RAW DATA'!$A$2:$A$271,'KING TON SALES__ RAW DATA'!$B$2:$B$271)</f>
        <v>CAT 6 WIRE</v>
      </c>
      <c r="G130" t="str">
        <f>_xlfn.XLOOKUP(E130,'KING TON SALES__ RAW DATA'!$A$2:$A$271,'KING TON SALES__ RAW DATA'!$D$2:$D$271)</f>
        <v>WIRE</v>
      </c>
      <c r="H130" s="6">
        <f>_xlfn.XLOOKUP(E130,'KING TON SALES__ RAW DATA'!$A$2:$A$271,'KING TON SALES__ RAW DATA'!$G$2:$G$271)</f>
        <v>80000</v>
      </c>
      <c r="I130">
        <v>18</v>
      </c>
      <c r="J130" s="6">
        <f>_xlfn.XLOOKUP(E130,'KING TON SALES__ RAW DATA'!$A$2:$A$271,'KING TON SALES__ RAW DATA'!$I$2:$I$271)</f>
        <v>110000</v>
      </c>
      <c r="K130" s="6">
        <f t="shared" si="3"/>
        <v>1440000</v>
      </c>
      <c r="L130" s="6">
        <f t="shared" si="4"/>
        <v>1980000</v>
      </c>
      <c r="M130" s="6">
        <f t="shared" si="5"/>
        <v>540000</v>
      </c>
      <c r="N130" t="str">
        <f>_xlfn.XLOOKUP(E130,'KING TON SALES__ RAW DATA'!$A$2:$A$271,'KING TON SALES__ RAW DATA'!$M$2:$M$271)</f>
        <v>TRANSFER</v>
      </c>
    </row>
    <row r="131" spans="1:14">
      <c r="A131" s="7">
        <v>6792</v>
      </c>
      <c r="B131" s="8">
        <v>46211</v>
      </c>
      <c r="C131" t="s">
        <v>19</v>
      </c>
      <c r="D131" t="s">
        <v>23</v>
      </c>
      <c r="E131" t="s">
        <v>89</v>
      </c>
      <c r="F131" t="str">
        <f>_xlfn.XLOOKUP(E131,'KING TON SALES__ RAW DATA'!$A$2:$A$271,'KING TON SALES__ RAW DATA'!$B$2:$B$271)</f>
        <v>DC TO FEMALE DC (1.5) WIRE</v>
      </c>
      <c r="G131" t="str">
        <f>_xlfn.XLOOKUP(E131,'KING TON SALES__ RAW DATA'!$A$2:$A$271,'KING TON SALES__ RAW DATA'!$D$2:$D$271)</f>
        <v>WIRE</v>
      </c>
      <c r="H131" s="6">
        <f>_xlfn.XLOOKUP(E131,'KING TON SALES__ RAW DATA'!$A$2:$A$271,'KING TON SALES__ RAW DATA'!$G$2:$G$271)</f>
        <v>500</v>
      </c>
      <c r="I131">
        <v>21</v>
      </c>
      <c r="J131" s="6">
        <f>_xlfn.XLOOKUP(E131,'KING TON SALES__ RAW DATA'!$A$2:$A$271,'KING TON SALES__ RAW DATA'!$I$2:$I$271)</f>
        <v>1500</v>
      </c>
      <c r="K131" s="6">
        <f t="shared" ref="K131:K194" si="6">H131*I131</f>
        <v>10500</v>
      </c>
      <c r="L131" s="6">
        <f t="shared" ref="L131:L194" si="7">J131*I131</f>
        <v>31500</v>
      </c>
      <c r="M131" s="6">
        <f t="shared" ref="M131:M194" si="8">L131-K131</f>
        <v>21000</v>
      </c>
      <c r="N131" t="str">
        <f>_xlfn.XLOOKUP(E131,'KING TON SALES__ RAW DATA'!$A$2:$A$271,'KING TON SALES__ RAW DATA'!$M$2:$M$271)</f>
        <v>POS</v>
      </c>
    </row>
    <row r="132" spans="1:14">
      <c r="A132" s="7">
        <v>6793</v>
      </c>
      <c r="B132" s="8">
        <v>46257</v>
      </c>
      <c r="C132" t="s">
        <v>43</v>
      </c>
      <c r="D132" t="s">
        <v>18</v>
      </c>
      <c r="E132" t="s">
        <v>134</v>
      </c>
      <c r="F132" t="str">
        <f>_xlfn.XLOOKUP(E132,'KING TON SALES__ RAW DATA'!$A$2:$A$271,'KING TON SALES__ RAW DATA'!$B$2:$B$271)</f>
        <v>BENJOR MULTI WITH SWITCH</v>
      </c>
      <c r="G132" t="str">
        <f>_xlfn.XLOOKUP(E132,'KING TON SALES__ RAW DATA'!$A$2:$A$271,'KING TON SALES__ RAW DATA'!$D$2:$D$271)</f>
        <v>ELECTRICAL</v>
      </c>
      <c r="H132" s="6">
        <f>_xlfn.XLOOKUP(E132,'KING TON SALES__ RAW DATA'!$A$2:$A$271,'KING TON SALES__ RAW DATA'!$G$2:$G$271)</f>
        <v>1000</v>
      </c>
      <c r="I132">
        <v>18</v>
      </c>
      <c r="J132" s="6">
        <f>_xlfn.XLOOKUP(E132,'KING TON SALES__ RAW DATA'!$A$2:$A$271,'KING TON SALES__ RAW DATA'!$I$2:$I$271)</f>
        <v>3000</v>
      </c>
      <c r="K132" s="6">
        <f t="shared" si="6"/>
        <v>18000</v>
      </c>
      <c r="L132" s="6">
        <f t="shared" si="7"/>
        <v>54000</v>
      </c>
      <c r="M132" s="6">
        <f t="shared" si="8"/>
        <v>36000</v>
      </c>
      <c r="N132" t="str">
        <f>_xlfn.XLOOKUP(E132,'KING TON SALES__ RAW DATA'!$A$2:$A$271,'KING TON SALES__ RAW DATA'!$M$2:$M$271)</f>
        <v>POS</v>
      </c>
    </row>
    <row r="133" spans="1:14">
      <c r="A133" s="7">
        <v>6794</v>
      </c>
      <c r="B133" s="8">
        <v>46253</v>
      </c>
      <c r="C133" t="s">
        <v>19</v>
      </c>
      <c r="D133" t="s">
        <v>23</v>
      </c>
      <c r="E133" t="s">
        <v>99</v>
      </c>
      <c r="F133" t="str">
        <f>_xlfn.XLOOKUP(E133,'KING TON SALES__ RAW DATA'!$A$2:$A$271,'KING TON SALES__ RAW DATA'!$B$2:$B$271)</f>
        <v>CAT 4 WIRE</v>
      </c>
      <c r="G133" t="str">
        <f>_xlfn.XLOOKUP(E133,'KING TON SALES__ RAW DATA'!$A$2:$A$271,'KING TON SALES__ RAW DATA'!$D$2:$D$271)</f>
        <v>WIRE</v>
      </c>
      <c r="H133" s="6">
        <f>_xlfn.XLOOKUP(E133,'KING TON SALES__ RAW DATA'!$A$2:$A$271,'KING TON SALES__ RAW DATA'!$G$2:$G$271)</f>
        <v>12000</v>
      </c>
      <c r="I133">
        <v>20</v>
      </c>
      <c r="J133" s="6">
        <f>_xlfn.XLOOKUP(E133,'KING TON SALES__ RAW DATA'!$A$2:$A$271,'KING TON SALES__ RAW DATA'!$I$2:$I$271)</f>
        <v>20000</v>
      </c>
      <c r="K133" s="6">
        <f t="shared" si="6"/>
        <v>240000</v>
      </c>
      <c r="L133" s="6">
        <f t="shared" si="7"/>
        <v>400000</v>
      </c>
      <c r="M133" s="6">
        <f t="shared" si="8"/>
        <v>160000</v>
      </c>
      <c r="N133" t="str">
        <f>_xlfn.XLOOKUP(E133,'KING TON SALES__ RAW DATA'!$A$2:$A$271,'KING TON SALES__ RAW DATA'!$M$2:$M$271)</f>
        <v>TRANSFER</v>
      </c>
    </row>
    <row r="134" spans="1:14">
      <c r="A134" s="7">
        <v>6795</v>
      </c>
      <c r="B134" s="8">
        <v>46231</v>
      </c>
      <c r="C134" t="s">
        <v>36</v>
      </c>
      <c r="D134" t="s">
        <v>23</v>
      </c>
      <c r="E134" t="s">
        <v>132</v>
      </c>
      <c r="F134" t="str">
        <f>_xlfn.XLOOKUP(E134,'KING TON SALES__ RAW DATA'!$A$2:$A$271,'KING TON SALES__ RAW DATA'!$B$2:$B$271)</f>
        <v>ORANGE MULTI</v>
      </c>
      <c r="G134" t="str">
        <f>_xlfn.XLOOKUP(E134,'KING TON SALES__ RAW DATA'!$A$2:$A$271,'KING TON SALES__ RAW DATA'!$D$2:$D$271)</f>
        <v>ELECTRICAL</v>
      </c>
      <c r="H134" s="6">
        <f>_xlfn.XLOOKUP(E134,'KING TON SALES__ RAW DATA'!$A$2:$A$271,'KING TON SALES__ RAW DATA'!$G$2:$G$271)</f>
        <v>700</v>
      </c>
      <c r="I134">
        <v>22</v>
      </c>
      <c r="J134" s="6">
        <f>_xlfn.XLOOKUP(E134,'KING TON SALES__ RAW DATA'!$A$2:$A$271,'KING TON SALES__ RAW DATA'!$I$2:$I$271)</f>
        <v>1000</v>
      </c>
      <c r="K134" s="6">
        <f t="shared" si="6"/>
        <v>15400</v>
      </c>
      <c r="L134" s="6">
        <f t="shared" si="7"/>
        <v>22000</v>
      </c>
      <c r="M134" s="6">
        <f t="shared" si="8"/>
        <v>6600</v>
      </c>
      <c r="N134" t="str">
        <f>_xlfn.XLOOKUP(E134,'KING TON SALES__ RAW DATA'!$A$2:$A$271,'KING TON SALES__ RAW DATA'!$M$2:$M$271)</f>
        <v>POS</v>
      </c>
    </row>
    <row r="135" spans="1:14">
      <c r="A135" s="7">
        <v>6796</v>
      </c>
      <c r="B135" s="8">
        <v>46211</v>
      </c>
      <c r="C135" t="s">
        <v>19</v>
      </c>
      <c r="D135" t="s">
        <v>23</v>
      </c>
      <c r="E135" t="s">
        <v>116</v>
      </c>
      <c r="F135" t="str">
        <f>_xlfn.XLOOKUP(E135,'KING TON SALES__ RAW DATA'!$A$2:$A$271,'KING TON SALES__ RAW DATA'!$B$2:$B$271)</f>
        <v>15 AMPS PLUG HEAD BENJOR</v>
      </c>
      <c r="G135" t="str">
        <f>_xlfn.XLOOKUP(E135,'KING TON SALES__ RAW DATA'!$A$2:$A$271,'KING TON SALES__ RAW DATA'!$D$2:$D$271)</f>
        <v>ELECTRICAL</v>
      </c>
      <c r="H135" s="6">
        <f>_xlfn.XLOOKUP(E135,'KING TON SALES__ RAW DATA'!$A$2:$A$271,'KING TON SALES__ RAW DATA'!$G$2:$G$271)</f>
        <v>800</v>
      </c>
      <c r="I135">
        <v>19</v>
      </c>
      <c r="J135" s="6">
        <f>_xlfn.XLOOKUP(E135,'KING TON SALES__ RAW DATA'!$A$2:$A$271,'KING TON SALES__ RAW DATA'!$I$2:$I$271)</f>
        <v>1500</v>
      </c>
      <c r="K135" s="6">
        <f t="shared" si="6"/>
        <v>15200</v>
      </c>
      <c r="L135" s="6">
        <f t="shared" si="7"/>
        <v>28500</v>
      </c>
      <c r="M135" s="6">
        <f t="shared" si="8"/>
        <v>13300</v>
      </c>
      <c r="N135" t="str">
        <f>_xlfn.XLOOKUP(E135,'KING TON SALES__ RAW DATA'!$A$2:$A$271,'KING TON SALES__ RAW DATA'!$M$2:$M$271)</f>
        <v>POS</v>
      </c>
    </row>
    <row r="136" spans="1:14">
      <c r="A136" s="7">
        <v>6797</v>
      </c>
      <c r="B136" s="8">
        <v>46220</v>
      </c>
      <c r="C136" t="s">
        <v>19</v>
      </c>
      <c r="D136" t="s">
        <v>18</v>
      </c>
      <c r="E136" t="s">
        <v>148</v>
      </c>
      <c r="F136" t="str">
        <f>_xlfn.XLOOKUP(E136,'KING TON SALES__ RAW DATA'!$A$2:$A$271,'KING TON SALES__ RAW DATA'!$B$2:$B$271)</f>
        <v>SOLDERING PASTE</v>
      </c>
      <c r="G136" t="str">
        <f>_xlfn.XLOOKUP(E136,'KING TON SALES__ RAW DATA'!$A$2:$A$271,'KING TON SALES__ RAW DATA'!$D$2:$D$271)</f>
        <v>TOOL</v>
      </c>
      <c r="H136" s="6">
        <f>_xlfn.XLOOKUP(E136,'KING TON SALES__ RAW DATA'!$A$2:$A$271,'KING TON SALES__ RAW DATA'!$G$2:$G$271)</f>
        <v>500</v>
      </c>
      <c r="I136">
        <v>23</v>
      </c>
      <c r="J136" s="6">
        <f>_xlfn.XLOOKUP(E136,'KING TON SALES__ RAW DATA'!$A$2:$A$271,'KING TON SALES__ RAW DATA'!$I$2:$I$271)</f>
        <v>1000</v>
      </c>
      <c r="K136" s="6">
        <f t="shared" si="6"/>
        <v>11500</v>
      </c>
      <c r="L136" s="6">
        <f t="shared" si="7"/>
        <v>23000</v>
      </c>
      <c r="M136" s="6">
        <f t="shared" si="8"/>
        <v>11500</v>
      </c>
      <c r="N136" t="str">
        <f>_xlfn.XLOOKUP(E136,'KING TON SALES__ RAW DATA'!$A$2:$A$271,'KING TON SALES__ RAW DATA'!$M$2:$M$271)</f>
        <v>TRANSFER</v>
      </c>
    </row>
    <row r="137" spans="1:14">
      <c r="A137" s="7">
        <v>6798</v>
      </c>
      <c r="B137" s="8">
        <v>46262</v>
      </c>
      <c r="C137" t="s">
        <v>43</v>
      </c>
      <c r="D137" t="s">
        <v>18</v>
      </c>
      <c r="E137" t="s">
        <v>134</v>
      </c>
      <c r="F137" t="str">
        <f>_xlfn.XLOOKUP(E137,'KING TON SALES__ RAW DATA'!$A$2:$A$271,'KING TON SALES__ RAW DATA'!$B$2:$B$271)</f>
        <v>BENJOR MULTI WITH SWITCH</v>
      </c>
      <c r="G137" t="str">
        <f>_xlfn.XLOOKUP(E137,'KING TON SALES__ RAW DATA'!$A$2:$A$271,'KING TON SALES__ RAW DATA'!$D$2:$D$271)</f>
        <v>ELECTRICAL</v>
      </c>
      <c r="H137" s="6">
        <f>_xlfn.XLOOKUP(E137,'KING TON SALES__ RAW DATA'!$A$2:$A$271,'KING TON SALES__ RAW DATA'!$G$2:$G$271)</f>
        <v>1000</v>
      </c>
      <c r="I137">
        <v>17</v>
      </c>
      <c r="J137" s="6">
        <f>_xlfn.XLOOKUP(E137,'KING TON SALES__ RAW DATA'!$A$2:$A$271,'KING TON SALES__ RAW DATA'!$I$2:$I$271)</f>
        <v>3000</v>
      </c>
      <c r="K137" s="6">
        <f t="shared" si="6"/>
        <v>17000</v>
      </c>
      <c r="L137" s="6">
        <f t="shared" si="7"/>
        <v>51000</v>
      </c>
      <c r="M137" s="6">
        <f t="shared" si="8"/>
        <v>34000</v>
      </c>
      <c r="N137" t="str">
        <f>_xlfn.XLOOKUP(E137,'KING TON SALES__ RAW DATA'!$A$2:$A$271,'KING TON SALES__ RAW DATA'!$M$2:$M$271)</f>
        <v>POS</v>
      </c>
    </row>
    <row r="138" spans="1:14">
      <c r="A138" s="7">
        <v>6799</v>
      </c>
      <c r="B138" s="8">
        <v>46204</v>
      </c>
      <c r="C138" t="s">
        <v>19</v>
      </c>
      <c r="D138" t="s">
        <v>18</v>
      </c>
      <c r="E138" t="s">
        <v>15</v>
      </c>
      <c r="F138" t="str">
        <f>_xlfn.XLOOKUP(E138,'KING TON SALES__ RAW DATA'!$A$2:$A$271,'KING TON SALES__ RAW DATA'!$B$2:$B$271)</f>
        <v>3 TO 3 AV (1.5m) WIRE</v>
      </c>
      <c r="G138" t="str">
        <f>_xlfn.XLOOKUP(E138,'KING TON SALES__ RAW DATA'!$A$2:$A$271,'KING TON SALES__ RAW DATA'!$D$2:$D$271)</f>
        <v>WIRE</v>
      </c>
      <c r="H138" s="6">
        <f>_xlfn.XLOOKUP(E138,'KING TON SALES__ RAW DATA'!$A$2:$A$271,'KING TON SALES__ RAW DATA'!$G$2:$G$271)</f>
        <v>600</v>
      </c>
      <c r="I138">
        <v>19</v>
      </c>
      <c r="J138" s="6">
        <f>_xlfn.XLOOKUP(E138,'KING TON SALES__ RAW DATA'!$A$2:$A$271,'KING TON SALES__ RAW DATA'!$I$2:$I$271)</f>
        <v>1500</v>
      </c>
      <c r="K138" s="6">
        <f t="shared" si="6"/>
        <v>11400</v>
      </c>
      <c r="L138" s="6">
        <f t="shared" si="7"/>
        <v>28500</v>
      </c>
      <c r="M138" s="6">
        <f t="shared" si="8"/>
        <v>17100</v>
      </c>
      <c r="N138" t="str">
        <f>_xlfn.XLOOKUP(E138,'KING TON SALES__ RAW DATA'!$A$2:$A$271,'KING TON SALES__ RAW DATA'!$M$2:$M$271)</f>
        <v>POS</v>
      </c>
    </row>
    <row r="139" spans="1:14">
      <c r="A139" s="7">
        <v>6800</v>
      </c>
      <c r="B139" s="8">
        <v>46223</v>
      </c>
      <c r="C139" t="s">
        <v>33</v>
      </c>
      <c r="D139" t="s">
        <v>23</v>
      </c>
      <c r="E139" t="s">
        <v>31</v>
      </c>
      <c r="F139" t="str">
        <f>_xlfn.XLOOKUP(E139,'KING TON SALES__ RAW DATA'!$A$2:$A$271,'KING TON SALES__ RAW DATA'!$B$2:$B$271)</f>
        <v>AUX TO JACK (1.5m) WIRE</v>
      </c>
      <c r="G139" t="str">
        <f>_xlfn.XLOOKUP(E139,'KING TON SALES__ RAW DATA'!$A$2:$A$271,'KING TON SALES__ RAW DATA'!$D$2:$D$271)</f>
        <v>WIRE</v>
      </c>
      <c r="H139" s="6">
        <f>_xlfn.XLOOKUP(E139,'KING TON SALES__ RAW DATA'!$A$2:$A$271,'KING TON SALES__ RAW DATA'!$G$2:$G$271)</f>
        <v>600</v>
      </c>
      <c r="I139">
        <v>21</v>
      </c>
      <c r="J139" s="6">
        <f>_xlfn.XLOOKUP(E139,'KING TON SALES__ RAW DATA'!$A$2:$A$271,'KING TON SALES__ RAW DATA'!$I$2:$I$271)</f>
        <v>1000</v>
      </c>
      <c r="K139" s="6">
        <f t="shared" si="6"/>
        <v>12600</v>
      </c>
      <c r="L139" s="6">
        <f t="shared" si="7"/>
        <v>21000</v>
      </c>
      <c r="M139" s="6">
        <f t="shared" si="8"/>
        <v>8400</v>
      </c>
      <c r="N139" t="str">
        <f>_xlfn.XLOOKUP(E139,'KING TON SALES__ RAW DATA'!$A$2:$A$271,'KING TON SALES__ RAW DATA'!$M$2:$M$271)</f>
        <v>TRANSFER</v>
      </c>
    </row>
    <row r="140" spans="1:14">
      <c r="A140" s="7">
        <v>6801</v>
      </c>
      <c r="B140" s="8">
        <v>46263</v>
      </c>
      <c r="C140" t="s">
        <v>43</v>
      </c>
      <c r="D140" t="s">
        <v>18</v>
      </c>
      <c r="E140" t="s">
        <v>134</v>
      </c>
      <c r="F140" t="str">
        <f>_xlfn.XLOOKUP(E140,'KING TON SALES__ RAW DATA'!$A$2:$A$271,'KING TON SALES__ RAW DATA'!$B$2:$B$271)</f>
        <v>BENJOR MULTI WITH SWITCH</v>
      </c>
      <c r="G140" t="str">
        <f>_xlfn.XLOOKUP(E140,'KING TON SALES__ RAW DATA'!$A$2:$A$271,'KING TON SALES__ RAW DATA'!$D$2:$D$271)</f>
        <v>ELECTRICAL</v>
      </c>
      <c r="H140" s="6">
        <f>_xlfn.XLOOKUP(E140,'KING TON SALES__ RAW DATA'!$A$2:$A$271,'KING TON SALES__ RAW DATA'!$G$2:$G$271)</f>
        <v>1000</v>
      </c>
      <c r="I140">
        <v>18</v>
      </c>
      <c r="J140" s="6">
        <f>_xlfn.XLOOKUP(E140,'KING TON SALES__ RAW DATA'!$A$2:$A$271,'KING TON SALES__ RAW DATA'!$I$2:$I$271)</f>
        <v>3000</v>
      </c>
      <c r="K140" s="6">
        <f t="shared" si="6"/>
        <v>18000</v>
      </c>
      <c r="L140" s="6">
        <f t="shared" si="7"/>
        <v>54000</v>
      </c>
      <c r="M140" s="6">
        <f t="shared" si="8"/>
        <v>36000</v>
      </c>
      <c r="N140" t="str">
        <f>_xlfn.XLOOKUP(E140,'KING TON SALES__ RAW DATA'!$A$2:$A$271,'KING TON SALES__ RAW DATA'!$M$2:$M$271)</f>
        <v>POS</v>
      </c>
    </row>
    <row r="141" spans="1:14">
      <c r="A141" s="7">
        <v>6802</v>
      </c>
      <c r="B141" s="8">
        <v>46258</v>
      </c>
      <c r="C141" t="s">
        <v>52</v>
      </c>
      <c r="D141" t="s">
        <v>18</v>
      </c>
      <c r="E141" t="s">
        <v>144</v>
      </c>
      <c r="F141" t="str">
        <f>_xlfn.XLOOKUP(E141,'KING TON SALES__ RAW DATA'!$A$2:$A$271,'KING TON SALES__ RAW DATA'!$B$2:$B$271)</f>
        <v>BENJOR EXTENTION 6 MOUTH</v>
      </c>
      <c r="G141" t="str">
        <f>_xlfn.XLOOKUP(E141,'KING TON SALES__ RAW DATA'!$A$2:$A$271,'KING TON SALES__ RAW DATA'!$D$2:$D$271)</f>
        <v>ELECTRICAL</v>
      </c>
      <c r="H141" s="6">
        <f>_xlfn.XLOOKUP(E141,'KING TON SALES__ RAW DATA'!$A$2:$A$271,'KING TON SALES__ RAW DATA'!$G$2:$G$271)</f>
        <v>6000</v>
      </c>
      <c r="I141">
        <v>25</v>
      </c>
      <c r="J141" s="6">
        <f>_xlfn.XLOOKUP(E141,'KING TON SALES__ RAW DATA'!$A$2:$A$271,'KING TON SALES__ RAW DATA'!$I$2:$I$271)</f>
        <v>12000</v>
      </c>
      <c r="K141" s="6">
        <f t="shared" si="6"/>
        <v>150000</v>
      </c>
      <c r="L141" s="6">
        <f t="shared" si="7"/>
        <v>300000</v>
      </c>
      <c r="M141" s="6">
        <f t="shared" si="8"/>
        <v>150000</v>
      </c>
      <c r="N141" t="str">
        <f>_xlfn.XLOOKUP(E141,'KING TON SALES__ RAW DATA'!$A$2:$A$271,'KING TON SALES__ RAW DATA'!$M$2:$M$271)</f>
        <v>TRANSFER</v>
      </c>
    </row>
    <row r="142" spans="1:14">
      <c r="A142" s="7">
        <v>6803</v>
      </c>
      <c r="B142" s="8">
        <v>46239</v>
      </c>
      <c r="C142" t="s">
        <v>19</v>
      </c>
      <c r="D142" t="s">
        <v>18</v>
      </c>
      <c r="E142" t="s">
        <v>124</v>
      </c>
      <c r="F142" t="str">
        <f>_xlfn.XLOOKUP(E142,'KING TON SALES__ RAW DATA'!$A$2:$A$271,'KING TON SALES__ RAW DATA'!$B$2:$B$271)</f>
        <v>13 AMPS DOUBLE SOCKET NEW</v>
      </c>
      <c r="G142" t="str">
        <f>_xlfn.XLOOKUP(E142,'KING TON SALES__ RAW DATA'!$A$2:$A$271,'KING TON SALES__ RAW DATA'!$D$2:$D$271)</f>
        <v>ELECTRICAL</v>
      </c>
      <c r="H142" s="6">
        <f>_xlfn.XLOOKUP(E142,'KING TON SALES__ RAW DATA'!$A$2:$A$271,'KING TON SALES__ RAW DATA'!$G$2:$G$271)</f>
        <v>1500</v>
      </c>
      <c r="I142">
        <v>20</v>
      </c>
      <c r="J142" s="6">
        <f>_xlfn.XLOOKUP(E142,'KING TON SALES__ RAW DATA'!$A$2:$A$271,'KING TON SALES__ RAW DATA'!$I$2:$I$271)</f>
        <v>2500</v>
      </c>
      <c r="K142" s="6">
        <f t="shared" si="6"/>
        <v>30000</v>
      </c>
      <c r="L142" s="6">
        <f t="shared" si="7"/>
        <v>50000</v>
      </c>
      <c r="M142" s="6">
        <f t="shared" si="8"/>
        <v>20000</v>
      </c>
      <c r="N142" t="str">
        <f>_xlfn.XLOOKUP(E142,'KING TON SALES__ RAW DATA'!$A$2:$A$271,'KING TON SALES__ RAW DATA'!$M$2:$M$271)</f>
        <v>TRANSFER</v>
      </c>
    </row>
    <row r="143" spans="1:14">
      <c r="A143" s="7">
        <v>6804</v>
      </c>
      <c r="B143" s="8">
        <v>46212</v>
      </c>
      <c r="C143" t="s">
        <v>19</v>
      </c>
      <c r="D143" t="s">
        <v>18</v>
      </c>
      <c r="E143" t="s">
        <v>138</v>
      </c>
      <c r="F143" t="str">
        <f>_xlfn.XLOOKUP(E143,'KING TON SALES__ RAW DATA'!$A$2:$A$271,'KING TON SALES__ RAW DATA'!$B$2:$B$271)</f>
        <v>MULTI (APC) EXTENTION 6 MOUTH</v>
      </c>
      <c r="G143" t="str">
        <f>_xlfn.XLOOKUP(E143,'KING TON SALES__ RAW DATA'!$A$2:$A$271,'KING TON SALES__ RAW DATA'!$D$2:$D$271)</f>
        <v>ELECTRICAL</v>
      </c>
      <c r="H143" s="6">
        <f>_xlfn.XLOOKUP(E143,'KING TON SALES__ RAW DATA'!$A$2:$A$271,'KING TON SALES__ RAW DATA'!$G$2:$G$271)</f>
        <v>7000</v>
      </c>
      <c r="I143">
        <v>22</v>
      </c>
      <c r="J143" s="6">
        <f>_xlfn.XLOOKUP(E143,'KING TON SALES__ RAW DATA'!$A$2:$A$271,'KING TON SALES__ RAW DATA'!$I$2:$I$271)</f>
        <v>12000</v>
      </c>
      <c r="K143" s="6">
        <f t="shared" si="6"/>
        <v>154000</v>
      </c>
      <c r="L143" s="6">
        <f t="shared" si="7"/>
        <v>264000</v>
      </c>
      <c r="M143" s="6">
        <f t="shared" si="8"/>
        <v>110000</v>
      </c>
      <c r="N143" t="str">
        <f>_xlfn.XLOOKUP(E143,'KING TON SALES__ RAW DATA'!$A$2:$A$271,'KING TON SALES__ RAW DATA'!$M$2:$M$271)</f>
        <v>CASH</v>
      </c>
    </row>
    <row r="144" spans="1:14">
      <c r="A144" s="7">
        <v>6805</v>
      </c>
      <c r="B144" s="8">
        <v>46258</v>
      </c>
      <c r="C144" t="s">
        <v>43</v>
      </c>
      <c r="D144" t="s">
        <v>23</v>
      </c>
      <c r="E144" t="s">
        <v>75</v>
      </c>
      <c r="F144" t="str">
        <f>_xlfn.XLOOKUP(E144,'KING TON SALES__ RAW DATA'!$A$2:$A$271,'KING TON SALES__ RAW DATA'!$B$2:$B$271)</f>
        <v>BLUE 4K HDMI (3m) WIRE</v>
      </c>
      <c r="G144" t="str">
        <f>_xlfn.XLOOKUP(E144,'KING TON SALES__ RAW DATA'!$A$2:$A$271,'KING TON SALES__ RAW DATA'!$D$2:$D$271)</f>
        <v>WIRE</v>
      </c>
      <c r="H144" s="6">
        <f>_xlfn.XLOOKUP(E144,'KING TON SALES__ RAW DATA'!$A$2:$A$271,'KING TON SALES__ RAW DATA'!$G$2:$G$271)</f>
        <v>3000</v>
      </c>
      <c r="I144">
        <v>22</v>
      </c>
      <c r="J144" s="6">
        <f>_xlfn.XLOOKUP(E144,'KING TON SALES__ RAW DATA'!$A$2:$A$271,'KING TON SALES__ RAW DATA'!$I$2:$I$271)</f>
        <v>6000</v>
      </c>
      <c r="K144" s="6">
        <f t="shared" si="6"/>
        <v>66000</v>
      </c>
      <c r="L144" s="6">
        <f t="shared" si="7"/>
        <v>132000</v>
      </c>
      <c r="M144" s="6">
        <f t="shared" si="8"/>
        <v>66000</v>
      </c>
      <c r="N144" t="str">
        <f>_xlfn.XLOOKUP(E144,'KING TON SALES__ RAW DATA'!$A$2:$A$271,'KING TON SALES__ RAW DATA'!$M$2:$M$271)</f>
        <v>POS</v>
      </c>
    </row>
    <row r="145" spans="1:14">
      <c r="A145" s="7">
        <v>6806</v>
      </c>
      <c r="B145" s="8">
        <v>46264</v>
      </c>
      <c r="C145" t="s">
        <v>52</v>
      </c>
      <c r="D145" t="s">
        <v>23</v>
      </c>
      <c r="E145" t="s">
        <v>111</v>
      </c>
      <c r="F145" t="str">
        <f>_xlfn.XLOOKUP(E145,'KING TON SALES__ RAW DATA'!$A$2:$A$271,'KING TON SALES__ RAW DATA'!$B$2:$B$271)</f>
        <v>OPTICAL CABLE (3m)</v>
      </c>
      <c r="G145" t="str">
        <f>_xlfn.XLOOKUP(E145,'KING TON SALES__ RAW DATA'!$A$2:$A$271,'KING TON SALES__ RAW DATA'!$D$2:$D$271)</f>
        <v>WIRE</v>
      </c>
      <c r="H145" s="6">
        <f>_xlfn.XLOOKUP(E145,'KING TON SALES__ RAW DATA'!$A$2:$A$271,'KING TON SALES__ RAW DATA'!$G$2:$G$271)</f>
        <v>2500</v>
      </c>
      <c r="I145">
        <v>23</v>
      </c>
      <c r="J145" s="6">
        <f>_xlfn.XLOOKUP(E145,'KING TON SALES__ RAW DATA'!$A$2:$A$271,'KING TON SALES__ RAW DATA'!$I$2:$I$271)</f>
        <v>5000</v>
      </c>
      <c r="K145" s="6">
        <f t="shared" si="6"/>
        <v>57500</v>
      </c>
      <c r="L145" s="6">
        <f t="shared" si="7"/>
        <v>115000</v>
      </c>
      <c r="M145" s="6">
        <f t="shared" si="8"/>
        <v>57500</v>
      </c>
      <c r="N145" t="str">
        <f>_xlfn.XLOOKUP(E145,'KING TON SALES__ RAW DATA'!$A$2:$A$271,'KING TON SALES__ RAW DATA'!$M$2:$M$271)</f>
        <v>POS</v>
      </c>
    </row>
    <row r="146" spans="1:14">
      <c r="A146" s="7">
        <v>6807</v>
      </c>
      <c r="B146" s="8">
        <v>46233</v>
      </c>
      <c r="C146" t="s">
        <v>36</v>
      </c>
      <c r="D146" t="s">
        <v>23</v>
      </c>
      <c r="E146" t="s">
        <v>71</v>
      </c>
      <c r="F146" t="str">
        <f>_xlfn.XLOOKUP(E146,'KING TON SALES__ RAW DATA'!$A$2:$A$271,'KING TON SALES__ RAW DATA'!$B$2:$B$271)</f>
        <v>4K HDMI (100m) WIRE</v>
      </c>
      <c r="G146" t="str">
        <f>_xlfn.XLOOKUP(E146,'KING TON SALES__ RAW DATA'!$A$2:$A$271,'KING TON SALES__ RAW DATA'!$D$2:$D$271)</f>
        <v>WIRE</v>
      </c>
      <c r="H146" s="6">
        <f>_xlfn.XLOOKUP(E146,'KING TON SALES__ RAW DATA'!$A$2:$A$271,'KING TON SALES__ RAW DATA'!$G$2:$G$271)</f>
        <v>60000</v>
      </c>
      <c r="I146">
        <v>24</v>
      </c>
      <c r="J146" s="6">
        <f>_xlfn.XLOOKUP(E146,'KING TON SALES__ RAW DATA'!$A$2:$A$271,'KING TON SALES__ RAW DATA'!$I$2:$I$271)</f>
        <v>100000</v>
      </c>
      <c r="K146" s="6">
        <f t="shared" si="6"/>
        <v>1440000</v>
      </c>
      <c r="L146" s="6">
        <f t="shared" si="7"/>
        <v>2400000</v>
      </c>
      <c r="M146" s="6">
        <f t="shared" si="8"/>
        <v>960000</v>
      </c>
      <c r="N146" t="str">
        <f>_xlfn.XLOOKUP(E146,'KING TON SALES__ RAW DATA'!$A$2:$A$271,'KING TON SALES__ RAW DATA'!$M$2:$M$271)</f>
        <v>POS</v>
      </c>
    </row>
    <row r="147" spans="1:14">
      <c r="A147" s="7">
        <v>6808</v>
      </c>
      <c r="B147" s="8">
        <v>46226</v>
      </c>
      <c r="C147" t="s">
        <v>19</v>
      </c>
      <c r="D147" t="s">
        <v>18</v>
      </c>
      <c r="E147" t="s">
        <v>107</v>
      </c>
      <c r="F147" t="str">
        <f>_xlfn.XLOOKUP(E147,'KING TON SALES__ RAW DATA'!$A$2:$A$271,'KING TON SALES__ RAW DATA'!$B$2:$B$271)</f>
        <v>FEMLE TO FEMALE USB (1.5m)</v>
      </c>
      <c r="G147" t="str">
        <f>_xlfn.XLOOKUP(E147,'KING TON SALES__ RAW DATA'!$A$2:$A$271,'KING TON SALES__ RAW DATA'!$D$2:$D$271)</f>
        <v>WIRE</v>
      </c>
      <c r="H147" s="6">
        <f>_xlfn.XLOOKUP(E147,'KING TON SALES__ RAW DATA'!$A$2:$A$271,'KING TON SALES__ RAW DATA'!$G$2:$G$271)</f>
        <v>2500</v>
      </c>
      <c r="I147">
        <v>22</v>
      </c>
      <c r="J147" s="6">
        <f>_xlfn.XLOOKUP(E147,'KING TON SALES__ RAW DATA'!$A$2:$A$271,'KING TON SALES__ RAW DATA'!$I$2:$I$271)</f>
        <v>5000</v>
      </c>
      <c r="K147" s="6">
        <f t="shared" si="6"/>
        <v>55000</v>
      </c>
      <c r="L147" s="6">
        <f t="shared" si="7"/>
        <v>110000</v>
      </c>
      <c r="M147" s="6">
        <f t="shared" si="8"/>
        <v>55000</v>
      </c>
      <c r="N147" t="str">
        <f>_xlfn.XLOOKUP(E147,'KING TON SALES__ RAW DATA'!$A$2:$A$271,'KING TON SALES__ RAW DATA'!$M$2:$M$271)</f>
        <v>POS</v>
      </c>
    </row>
    <row r="148" spans="1:14">
      <c r="A148" s="7">
        <v>6809</v>
      </c>
      <c r="B148" s="8">
        <v>46250</v>
      </c>
      <c r="C148" t="s">
        <v>52</v>
      </c>
      <c r="D148" t="s">
        <v>23</v>
      </c>
      <c r="E148" t="s">
        <v>111</v>
      </c>
      <c r="F148" t="str">
        <f>_xlfn.XLOOKUP(E148,'KING TON SALES__ RAW DATA'!$A$2:$A$271,'KING TON SALES__ RAW DATA'!$B$2:$B$271)</f>
        <v>OPTICAL CABLE (3m)</v>
      </c>
      <c r="G148" t="str">
        <f>_xlfn.XLOOKUP(E148,'KING TON SALES__ RAW DATA'!$A$2:$A$271,'KING TON SALES__ RAW DATA'!$D$2:$D$271)</f>
        <v>WIRE</v>
      </c>
      <c r="H148" s="6">
        <f>_xlfn.XLOOKUP(E148,'KING TON SALES__ RAW DATA'!$A$2:$A$271,'KING TON SALES__ RAW DATA'!$G$2:$G$271)</f>
        <v>2500</v>
      </c>
      <c r="I148">
        <v>23</v>
      </c>
      <c r="J148" s="6">
        <f>_xlfn.XLOOKUP(E148,'KING TON SALES__ RAW DATA'!$A$2:$A$271,'KING TON SALES__ RAW DATA'!$I$2:$I$271)</f>
        <v>5000</v>
      </c>
      <c r="K148" s="6">
        <f t="shared" si="6"/>
        <v>57500</v>
      </c>
      <c r="L148" s="6">
        <f t="shared" si="7"/>
        <v>115000</v>
      </c>
      <c r="M148" s="6">
        <f t="shared" si="8"/>
        <v>57500</v>
      </c>
      <c r="N148" t="str">
        <f>_xlfn.XLOOKUP(E148,'KING TON SALES__ RAW DATA'!$A$2:$A$271,'KING TON SALES__ RAW DATA'!$M$2:$M$271)</f>
        <v>POS</v>
      </c>
    </row>
    <row r="149" spans="1:14">
      <c r="A149" s="7">
        <v>6810</v>
      </c>
      <c r="B149" s="8">
        <v>46257</v>
      </c>
      <c r="C149" t="s">
        <v>19</v>
      </c>
      <c r="D149" t="s">
        <v>23</v>
      </c>
      <c r="E149" t="s">
        <v>91</v>
      </c>
      <c r="F149" t="str">
        <f>_xlfn.XLOOKUP(E149,'KING TON SALES__ RAW DATA'!$A$2:$A$271,'KING TON SALES__ RAW DATA'!$B$2:$B$271)</f>
        <v>SNAKE (Tiny) WIRE</v>
      </c>
      <c r="G149" t="str">
        <f>_xlfn.XLOOKUP(E149,'KING TON SALES__ RAW DATA'!$A$2:$A$271,'KING TON SALES__ RAW DATA'!$D$2:$D$271)</f>
        <v>WIRE</v>
      </c>
      <c r="H149" s="6">
        <f>_xlfn.XLOOKUP(E149,'KING TON SALES__ RAW DATA'!$A$2:$A$271,'KING TON SALES__ RAW DATA'!$G$2:$G$271)</f>
        <v>20000</v>
      </c>
      <c r="I149">
        <v>19</v>
      </c>
      <c r="J149" s="6">
        <f>_xlfn.XLOOKUP(E149,'KING TON SALES__ RAW DATA'!$A$2:$A$271,'KING TON SALES__ RAW DATA'!$I$2:$I$271)</f>
        <v>30000</v>
      </c>
      <c r="K149" s="6">
        <f t="shared" si="6"/>
        <v>380000</v>
      </c>
      <c r="L149" s="6">
        <f t="shared" si="7"/>
        <v>570000</v>
      </c>
      <c r="M149" s="6">
        <f t="shared" si="8"/>
        <v>190000</v>
      </c>
      <c r="N149" t="str">
        <f>_xlfn.XLOOKUP(E149,'KING TON SALES__ RAW DATA'!$A$2:$A$271,'KING TON SALES__ RAW DATA'!$M$2:$M$271)</f>
        <v>CASH</v>
      </c>
    </row>
    <row r="150" spans="1:14">
      <c r="A150" s="7">
        <v>6811</v>
      </c>
      <c r="B150" s="8">
        <v>46209</v>
      </c>
      <c r="C150" t="s">
        <v>19</v>
      </c>
      <c r="D150" t="s">
        <v>23</v>
      </c>
      <c r="E150" t="s">
        <v>122</v>
      </c>
      <c r="F150" t="str">
        <f>_xlfn.XLOOKUP(E150,'KING TON SALES__ RAW DATA'!$A$2:$A$271,'KING TON SALES__ RAW DATA'!$B$2:$B$271)</f>
        <v>13 AMPS SINGLE SOCKET NEW</v>
      </c>
      <c r="G150" t="str">
        <f>_xlfn.XLOOKUP(E150,'KING TON SALES__ RAW DATA'!$A$2:$A$271,'KING TON SALES__ RAW DATA'!$D$2:$D$271)</f>
        <v>ELECTRICAL</v>
      </c>
      <c r="H150" s="6">
        <f>_xlfn.XLOOKUP(E150,'KING TON SALES__ RAW DATA'!$A$2:$A$271,'KING TON SALES__ RAW DATA'!$G$2:$G$271)</f>
        <v>500</v>
      </c>
      <c r="I150">
        <v>19</v>
      </c>
      <c r="J150" s="6">
        <f>_xlfn.XLOOKUP(E150,'KING TON SALES__ RAW DATA'!$A$2:$A$271,'KING TON SALES__ RAW DATA'!$I$2:$I$271)</f>
        <v>1000</v>
      </c>
      <c r="K150" s="6">
        <f t="shared" si="6"/>
        <v>9500</v>
      </c>
      <c r="L150" s="6">
        <f t="shared" si="7"/>
        <v>19000</v>
      </c>
      <c r="M150" s="6">
        <f t="shared" si="8"/>
        <v>9500</v>
      </c>
      <c r="N150" t="str">
        <f>_xlfn.XLOOKUP(E150,'KING TON SALES__ RAW DATA'!$A$2:$A$271,'KING TON SALES__ RAW DATA'!$M$2:$M$271)</f>
        <v>TRANSFER</v>
      </c>
    </row>
    <row r="151" spans="1:14">
      <c r="A151" s="7">
        <v>6812</v>
      </c>
      <c r="B151" s="8">
        <v>46249</v>
      </c>
      <c r="C151" t="s">
        <v>19</v>
      </c>
      <c r="D151" t="s">
        <v>23</v>
      </c>
      <c r="E151" t="s">
        <v>69</v>
      </c>
      <c r="F151" t="str">
        <f>_xlfn.XLOOKUP(E151,'KING TON SALES__ RAW DATA'!$A$2:$A$271,'KING TON SALES__ RAW DATA'!$B$2:$B$271)</f>
        <v>4K HDMI (50m) WIRE</v>
      </c>
      <c r="G151" t="str">
        <f>_xlfn.XLOOKUP(E151,'KING TON SALES__ RAW DATA'!$A$2:$A$271,'KING TON SALES__ RAW DATA'!$D$2:$D$271)</f>
        <v>WIRE</v>
      </c>
      <c r="H151" s="6">
        <f>_xlfn.XLOOKUP(E151,'KING TON SALES__ RAW DATA'!$A$2:$A$271,'KING TON SALES__ RAW DATA'!$G$2:$G$271)</f>
        <v>30000</v>
      </c>
      <c r="I151">
        <v>24</v>
      </c>
      <c r="J151" s="6">
        <f>_xlfn.XLOOKUP(E151,'KING TON SALES__ RAW DATA'!$A$2:$A$271,'KING TON SALES__ RAW DATA'!$I$2:$I$271)</f>
        <v>45000</v>
      </c>
      <c r="K151" s="6">
        <f t="shared" si="6"/>
        <v>720000</v>
      </c>
      <c r="L151" s="6">
        <f t="shared" si="7"/>
        <v>1080000</v>
      </c>
      <c r="M151" s="6">
        <f t="shared" si="8"/>
        <v>360000</v>
      </c>
      <c r="N151" t="str">
        <f>_xlfn.XLOOKUP(E151,'KING TON SALES__ RAW DATA'!$A$2:$A$271,'KING TON SALES__ RAW DATA'!$M$2:$M$271)</f>
        <v>TRANSFER</v>
      </c>
    </row>
    <row r="152" spans="1:14">
      <c r="A152" s="7">
        <v>6813</v>
      </c>
      <c r="B152" s="8">
        <v>46247</v>
      </c>
      <c r="C152" t="s">
        <v>52</v>
      </c>
      <c r="D152" t="s">
        <v>18</v>
      </c>
      <c r="E152" t="s">
        <v>83</v>
      </c>
      <c r="F152" t="str">
        <f>_xlfn.XLOOKUP(E152,'KING TON SALES__ RAW DATA'!$A$2:$A$271,'KING TON SALES__ RAW DATA'!$B$2:$B$271)</f>
        <v>DC TO DC MALE (1.5m) WIRE</v>
      </c>
      <c r="G152" t="str">
        <f>_xlfn.XLOOKUP(E152,'KING TON SALES__ RAW DATA'!$A$2:$A$271,'KING TON SALES__ RAW DATA'!$D$2:$D$271)</f>
        <v>WIRE</v>
      </c>
      <c r="H152" s="6">
        <f>_xlfn.XLOOKUP(E152,'KING TON SALES__ RAW DATA'!$A$2:$A$271,'KING TON SALES__ RAW DATA'!$G$2:$G$271)</f>
        <v>500</v>
      </c>
      <c r="I152">
        <v>18</v>
      </c>
      <c r="J152" s="6">
        <f>_xlfn.XLOOKUP(E152,'KING TON SALES__ RAW DATA'!$A$2:$A$271,'KING TON SALES__ RAW DATA'!$I$2:$I$271)</f>
        <v>1000</v>
      </c>
      <c r="K152" s="6">
        <f t="shared" si="6"/>
        <v>9000</v>
      </c>
      <c r="L152" s="6">
        <f t="shared" si="7"/>
        <v>18000</v>
      </c>
      <c r="M152" s="6">
        <f t="shared" si="8"/>
        <v>9000</v>
      </c>
      <c r="N152" t="str">
        <f>_xlfn.XLOOKUP(E152,'KING TON SALES__ RAW DATA'!$A$2:$A$271,'KING TON SALES__ RAW DATA'!$M$2:$M$271)</f>
        <v>POS</v>
      </c>
    </row>
    <row r="153" spans="1:14">
      <c r="A153" s="7">
        <v>6814</v>
      </c>
      <c r="B153" s="8">
        <v>46224</v>
      </c>
      <c r="C153" t="s">
        <v>19</v>
      </c>
      <c r="D153" t="s">
        <v>23</v>
      </c>
      <c r="E153" t="s">
        <v>116</v>
      </c>
      <c r="F153" t="str">
        <f>_xlfn.XLOOKUP(E153,'KING TON SALES__ RAW DATA'!$A$2:$A$271,'KING TON SALES__ RAW DATA'!$B$2:$B$271)</f>
        <v>15 AMPS PLUG HEAD BENJOR</v>
      </c>
      <c r="G153" t="str">
        <f>_xlfn.XLOOKUP(E153,'KING TON SALES__ RAW DATA'!$A$2:$A$271,'KING TON SALES__ RAW DATA'!$D$2:$D$271)</f>
        <v>ELECTRICAL</v>
      </c>
      <c r="H153" s="6">
        <f>_xlfn.XLOOKUP(E153,'KING TON SALES__ RAW DATA'!$A$2:$A$271,'KING TON SALES__ RAW DATA'!$G$2:$G$271)</f>
        <v>800</v>
      </c>
      <c r="I153">
        <v>21</v>
      </c>
      <c r="J153" s="6">
        <f>_xlfn.XLOOKUP(E153,'KING TON SALES__ RAW DATA'!$A$2:$A$271,'KING TON SALES__ RAW DATA'!$I$2:$I$271)</f>
        <v>1500</v>
      </c>
      <c r="K153" s="6">
        <f t="shared" si="6"/>
        <v>16800</v>
      </c>
      <c r="L153" s="6">
        <f t="shared" si="7"/>
        <v>31500</v>
      </c>
      <c r="M153" s="6">
        <f t="shared" si="8"/>
        <v>14700</v>
      </c>
      <c r="N153" t="str">
        <f>_xlfn.XLOOKUP(E153,'KING TON SALES__ RAW DATA'!$A$2:$A$271,'KING TON SALES__ RAW DATA'!$M$2:$M$271)</f>
        <v>POS</v>
      </c>
    </row>
    <row r="154" spans="1:14">
      <c r="A154" s="7">
        <v>6815</v>
      </c>
      <c r="B154" s="8">
        <v>46209</v>
      </c>
      <c r="C154" t="s">
        <v>19</v>
      </c>
      <c r="D154" t="s">
        <v>23</v>
      </c>
      <c r="E154" t="s">
        <v>122</v>
      </c>
      <c r="F154" t="str">
        <f>_xlfn.XLOOKUP(E154,'KING TON SALES__ RAW DATA'!$A$2:$A$271,'KING TON SALES__ RAW DATA'!$B$2:$B$271)</f>
        <v>13 AMPS SINGLE SOCKET NEW</v>
      </c>
      <c r="G154" t="str">
        <f>_xlfn.XLOOKUP(E154,'KING TON SALES__ RAW DATA'!$A$2:$A$271,'KING TON SALES__ RAW DATA'!$D$2:$D$271)</f>
        <v>ELECTRICAL</v>
      </c>
      <c r="H154" s="6">
        <f>_xlfn.XLOOKUP(E154,'KING TON SALES__ RAW DATA'!$A$2:$A$271,'KING TON SALES__ RAW DATA'!$G$2:$G$271)</f>
        <v>500</v>
      </c>
      <c r="I154">
        <v>18</v>
      </c>
      <c r="J154" s="6">
        <f>_xlfn.XLOOKUP(E154,'KING TON SALES__ RAW DATA'!$A$2:$A$271,'KING TON SALES__ RAW DATA'!$I$2:$I$271)</f>
        <v>1000</v>
      </c>
      <c r="K154" s="6">
        <f t="shared" si="6"/>
        <v>9000</v>
      </c>
      <c r="L154" s="6">
        <f t="shared" si="7"/>
        <v>18000</v>
      </c>
      <c r="M154" s="6">
        <f t="shared" si="8"/>
        <v>9000</v>
      </c>
      <c r="N154" t="str">
        <f>_xlfn.XLOOKUP(E154,'KING TON SALES__ RAW DATA'!$A$2:$A$271,'KING TON SALES__ RAW DATA'!$M$2:$M$271)</f>
        <v>TRANSFER</v>
      </c>
    </row>
    <row r="155" spans="1:14">
      <c r="A155" s="7">
        <v>6816</v>
      </c>
      <c r="B155" s="8">
        <v>46254</v>
      </c>
      <c r="C155" t="s">
        <v>19</v>
      </c>
      <c r="D155" t="s">
        <v>23</v>
      </c>
      <c r="E155" t="s">
        <v>69</v>
      </c>
      <c r="F155" t="str">
        <f>_xlfn.XLOOKUP(E155,'KING TON SALES__ RAW DATA'!$A$2:$A$271,'KING TON SALES__ RAW DATA'!$B$2:$B$271)</f>
        <v>4K HDMI (50m) WIRE</v>
      </c>
      <c r="G155" t="str">
        <f>_xlfn.XLOOKUP(E155,'KING TON SALES__ RAW DATA'!$A$2:$A$271,'KING TON SALES__ RAW DATA'!$D$2:$D$271)</f>
        <v>WIRE</v>
      </c>
      <c r="H155" s="6">
        <f>_xlfn.XLOOKUP(E155,'KING TON SALES__ RAW DATA'!$A$2:$A$271,'KING TON SALES__ RAW DATA'!$G$2:$G$271)</f>
        <v>30000</v>
      </c>
      <c r="I155">
        <v>20</v>
      </c>
      <c r="J155" s="6">
        <f>_xlfn.XLOOKUP(E155,'KING TON SALES__ RAW DATA'!$A$2:$A$271,'KING TON SALES__ RAW DATA'!$I$2:$I$271)</f>
        <v>45000</v>
      </c>
      <c r="K155" s="6">
        <f t="shared" si="6"/>
        <v>600000</v>
      </c>
      <c r="L155" s="6">
        <f t="shared" si="7"/>
        <v>900000</v>
      </c>
      <c r="M155" s="6">
        <f t="shared" si="8"/>
        <v>300000</v>
      </c>
      <c r="N155" t="str">
        <f>_xlfn.XLOOKUP(E155,'KING TON SALES__ RAW DATA'!$A$2:$A$271,'KING TON SALES__ RAW DATA'!$M$2:$M$271)</f>
        <v>TRANSFER</v>
      </c>
    </row>
    <row r="156" spans="1:14">
      <c r="A156" s="7">
        <v>6817</v>
      </c>
      <c r="B156" s="8">
        <v>46238</v>
      </c>
      <c r="C156" t="s">
        <v>43</v>
      </c>
      <c r="D156" t="s">
        <v>18</v>
      </c>
      <c r="E156" t="s">
        <v>103</v>
      </c>
      <c r="F156" t="str">
        <f>_xlfn.XLOOKUP(E156,'KING TON SALES__ RAW DATA'!$A$2:$A$271,'KING TON SALES__ RAW DATA'!$B$2:$B$271)</f>
        <v>USB TO FEMALE USB (1.5m) CORD</v>
      </c>
      <c r="G156" t="str">
        <f>_xlfn.XLOOKUP(E156,'KING TON SALES__ RAW DATA'!$A$2:$A$271,'KING TON SALES__ RAW DATA'!$D$2:$D$271)</f>
        <v>WIRE</v>
      </c>
      <c r="H156" s="6">
        <f>_xlfn.XLOOKUP(E156,'KING TON SALES__ RAW DATA'!$A$2:$A$271,'KING TON SALES__ RAW DATA'!$G$2:$G$271)</f>
        <v>2500</v>
      </c>
      <c r="I156">
        <v>18</v>
      </c>
      <c r="J156" s="6">
        <f>_xlfn.XLOOKUP(E156,'KING TON SALES__ RAW DATA'!$A$2:$A$271,'KING TON SALES__ RAW DATA'!$I$2:$I$271)</f>
        <v>5000</v>
      </c>
      <c r="K156" s="6">
        <f t="shared" si="6"/>
        <v>45000</v>
      </c>
      <c r="L156" s="6">
        <f t="shared" si="7"/>
        <v>90000</v>
      </c>
      <c r="M156" s="6">
        <f t="shared" si="8"/>
        <v>45000</v>
      </c>
      <c r="N156" t="str">
        <f>_xlfn.XLOOKUP(E156,'KING TON SALES__ RAW DATA'!$A$2:$A$271,'KING TON SALES__ RAW DATA'!$M$2:$M$271)</f>
        <v>TRANSFER</v>
      </c>
    </row>
    <row r="157" spans="1:14">
      <c r="A157" s="7">
        <v>6818</v>
      </c>
      <c r="B157" s="8">
        <v>46241</v>
      </c>
      <c r="C157" t="s">
        <v>33</v>
      </c>
      <c r="D157" t="s">
        <v>23</v>
      </c>
      <c r="E157" t="s">
        <v>126</v>
      </c>
      <c r="F157" t="str">
        <f>_xlfn.XLOOKUP(E157,'KING TON SALES__ RAW DATA'!$A$2:$A$271,'KING TON SALES__ RAW DATA'!$B$2:$B$271)</f>
        <v>BIG GENERATOR PLUG HEAD</v>
      </c>
      <c r="G157" t="str">
        <f>_xlfn.XLOOKUP(E157,'KING TON SALES__ RAW DATA'!$A$2:$A$271,'KING TON SALES__ RAW DATA'!$D$2:$D$271)</f>
        <v>ELECTRICAL</v>
      </c>
      <c r="H157" s="6">
        <f>_xlfn.XLOOKUP(E157,'KING TON SALES__ RAW DATA'!$A$2:$A$271,'KING TON SALES__ RAW DATA'!$G$2:$G$271)</f>
        <v>200</v>
      </c>
      <c r="I157">
        <v>24</v>
      </c>
      <c r="J157" s="6">
        <f>_xlfn.XLOOKUP(E157,'KING TON SALES__ RAW DATA'!$A$2:$A$271,'KING TON SALES__ RAW DATA'!$I$2:$I$271)</f>
        <v>500</v>
      </c>
      <c r="K157" s="6">
        <f t="shared" si="6"/>
        <v>4800</v>
      </c>
      <c r="L157" s="6">
        <f t="shared" si="7"/>
        <v>12000</v>
      </c>
      <c r="M157" s="6">
        <f t="shared" si="8"/>
        <v>7200</v>
      </c>
      <c r="N157" t="str">
        <f>_xlfn.XLOOKUP(E157,'KING TON SALES__ RAW DATA'!$A$2:$A$271,'KING TON SALES__ RAW DATA'!$M$2:$M$271)</f>
        <v>POS</v>
      </c>
    </row>
    <row r="158" spans="1:14">
      <c r="A158" s="7">
        <v>6819</v>
      </c>
      <c r="B158" s="8">
        <v>46239</v>
      </c>
      <c r="C158" t="s">
        <v>52</v>
      </c>
      <c r="D158" t="s">
        <v>18</v>
      </c>
      <c r="E158" t="s">
        <v>83</v>
      </c>
      <c r="F158" t="str">
        <f>_xlfn.XLOOKUP(E158,'KING TON SALES__ RAW DATA'!$A$2:$A$271,'KING TON SALES__ RAW DATA'!$B$2:$B$271)</f>
        <v>DC TO DC MALE (1.5m) WIRE</v>
      </c>
      <c r="G158" t="str">
        <f>_xlfn.XLOOKUP(E158,'KING TON SALES__ RAW DATA'!$A$2:$A$271,'KING TON SALES__ RAW DATA'!$D$2:$D$271)</f>
        <v>WIRE</v>
      </c>
      <c r="H158" s="6">
        <f>_xlfn.XLOOKUP(E158,'KING TON SALES__ RAW DATA'!$A$2:$A$271,'KING TON SALES__ RAW DATA'!$G$2:$G$271)</f>
        <v>500</v>
      </c>
      <c r="I158">
        <v>24</v>
      </c>
      <c r="J158" s="6">
        <f>_xlfn.XLOOKUP(E158,'KING TON SALES__ RAW DATA'!$A$2:$A$271,'KING TON SALES__ RAW DATA'!$I$2:$I$271)</f>
        <v>1000</v>
      </c>
      <c r="K158" s="6">
        <f t="shared" si="6"/>
        <v>12000</v>
      </c>
      <c r="L158" s="6">
        <f t="shared" si="7"/>
        <v>24000</v>
      </c>
      <c r="M158" s="6">
        <f t="shared" si="8"/>
        <v>12000</v>
      </c>
      <c r="N158" t="str">
        <f>_xlfn.XLOOKUP(E158,'KING TON SALES__ RAW DATA'!$A$2:$A$271,'KING TON SALES__ RAW DATA'!$M$2:$M$271)</f>
        <v>POS</v>
      </c>
    </row>
    <row r="159" spans="1:14">
      <c r="A159" s="7">
        <v>6820</v>
      </c>
      <c r="B159" s="8">
        <v>46262</v>
      </c>
      <c r="C159" t="s">
        <v>36</v>
      </c>
      <c r="D159" t="s">
        <v>23</v>
      </c>
      <c r="E159" t="s">
        <v>71</v>
      </c>
      <c r="F159" t="str">
        <f>_xlfn.XLOOKUP(E159,'KING TON SALES__ RAW DATA'!$A$2:$A$271,'KING TON SALES__ RAW DATA'!$B$2:$B$271)</f>
        <v>4K HDMI (100m) WIRE</v>
      </c>
      <c r="G159" t="str">
        <f>_xlfn.XLOOKUP(E159,'KING TON SALES__ RAW DATA'!$A$2:$A$271,'KING TON SALES__ RAW DATA'!$D$2:$D$271)</f>
        <v>WIRE</v>
      </c>
      <c r="H159" s="6">
        <f>_xlfn.XLOOKUP(E159,'KING TON SALES__ RAW DATA'!$A$2:$A$271,'KING TON SALES__ RAW DATA'!$G$2:$G$271)</f>
        <v>60000</v>
      </c>
      <c r="I159">
        <v>23</v>
      </c>
      <c r="J159" s="6">
        <f>_xlfn.XLOOKUP(E159,'KING TON SALES__ RAW DATA'!$A$2:$A$271,'KING TON SALES__ RAW DATA'!$I$2:$I$271)</f>
        <v>100000</v>
      </c>
      <c r="K159" s="6">
        <f t="shared" si="6"/>
        <v>1380000</v>
      </c>
      <c r="L159" s="6">
        <f t="shared" si="7"/>
        <v>2300000</v>
      </c>
      <c r="M159" s="6">
        <f t="shared" si="8"/>
        <v>920000</v>
      </c>
      <c r="N159" t="str">
        <f>_xlfn.XLOOKUP(E159,'KING TON SALES__ RAW DATA'!$A$2:$A$271,'KING TON SALES__ RAW DATA'!$M$2:$M$271)</f>
        <v>POS</v>
      </c>
    </row>
    <row r="160" spans="1:14">
      <c r="A160" s="7">
        <v>6821</v>
      </c>
      <c r="B160" s="8">
        <v>46223</v>
      </c>
      <c r="C160" t="s">
        <v>19</v>
      </c>
      <c r="D160" t="s">
        <v>18</v>
      </c>
      <c r="E160" t="s">
        <v>124</v>
      </c>
      <c r="F160" t="str">
        <f>_xlfn.XLOOKUP(E160,'KING TON SALES__ RAW DATA'!$A$2:$A$271,'KING TON SALES__ RAW DATA'!$B$2:$B$271)</f>
        <v>13 AMPS DOUBLE SOCKET NEW</v>
      </c>
      <c r="G160" t="str">
        <f>_xlfn.XLOOKUP(E160,'KING TON SALES__ RAW DATA'!$A$2:$A$271,'KING TON SALES__ RAW DATA'!$D$2:$D$271)</f>
        <v>ELECTRICAL</v>
      </c>
      <c r="H160" s="6">
        <f>_xlfn.XLOOKUP(E160,'KING TON SALES__ RAW DATA'!$A$2:$A$271,'KING TON SALES__ RAW DATA'!$G$2:$G$271)</f>
        <v>1500</v>
      </c>
      <c r="I160">
        <v>25</v>
      </c>
      <c r="J160" s="6">
        <f>_xlfn.XLOOKUP(E160,'KING TON SALES__ RAW DATA'!$A$2:$A$271,'KING TON SALES__ RAW DATA'!$I$2:$I$271)</f>
        <v>2500</v>
      </c>
      <c r="K160" s="6">
        <f t="shared" si="6"/>
        <v>37500</v>
      </c>
      <c r="L160" s="6">
        <f t="shared" si="7"/>
        <v>62500</v>
      </c>
      <c r="M160" s="6">
        <f t="shared" si="8"/>
        <v>25000</v>
      </c>
      <c r="N160" t="str">
        <f>_xlfn.XLOOKUP(E160,'KING TON SALES__ RAW DATA'!$A$2:$A$271,'KING TON SALES__ RAW DATA'!$M$2:$M$271)</f>
        <v>TRANSFER</v>
      </c>
    </row>
    <row r="161" spans="1:14">
      <c r="A161" s="7">
        <v>6822</v>
      </c>
      <c r="B161" s="8">
        <v>46206</v>
      </c>
      <c r="C161" t="s">
        <v>52</v>
      </c>
      <c r="D161" t="s">
        <v>23</v>
      </c>
      <c r="E161" t="s">
        <v>81</v>
      </c>
      <c r="F161" t="str">
        <f>_xlfn.XLOOKUP(E161,'KING TON SALES__ RAW DATA'!$A$2:$A$271,'KING TON SALES__ RAW DATA'!$B$2:$B$271)</f>
        <v>BLUE 4K HDMI (15m) WIRE</v>
      </c>
      <c r="G161" t="str">
        <f>_xlfn.XLOOKUP(E161,'KING TON SALES__ RAW DATA'!$A$2:$A$271,'KING TON SALES__ RAW DATA'!$D$2:$D$271)</f>
        <v>WIRE</v>
      </c>
      <c r="H161" s="6">
        <f>_xlfn.XLOOKUP(E161,'KING TON SALES__ RAW DATA'!$A$2:$A$271,'KING TON SALES__ RAW DATA'!$G$2:$G$271)</f>
        <v>7000</v>
      </c>
      <c r="I161">
        <v>23</v>
      </c>
      <c r="J161" s="6">
        <f>_xlfn.XLOOKUP(E161,'KING TON SALES__ RAW DATA'!$A$2:$A$271,'KING TON SALES__ RAW DATA'!$I$2:$I$271)</f>
        <v>15000</v>
      </c>
      <c r="K161" s="6">
        <f t="shared" si="6"/>
        <v>161000</v>
      </c>
      <c r="L161" s="6">
        <f t="shared" si="7"/>
        <v>345000</v>
      </c>
      <c r="M161" s="6">
        <f t="shared" si="8"/>
        <v>184000</v>
      </c>
      <c r="N161" t="str">
        <f>_xlfn.XLOOKUP(E161,'KING TON SALES__ RAW DATA'!$A$2:$A$271,'KING TON SALES__ RAW DATA'!$M$2:$M$271)</f>
        <v>POS</v>
      </c>
    </row>
    <row r="162" spans="1:14">
      <c r="A162" s="7">
        <v>6823</v>
      </c>
      <c r="B162" s="8">
        <v>46222</v>
      </c>
      <c r="C162" t="s">
        <v>19</v>
      </c>
      <c r="D162" t="s">
        <v>23</v>
      </c>
      <c r="E162" t="s">
        <v>69</v>
      </c>
      <c r="F162" t="str">
        <f>_xlfn.XLOOKUP(E162,'KING TON SALES__ RAW DATA'!$A$2:$A$271,'KING TON SALES__ RAW DATA'!$B$2:$B$271)</f>
        <v>4K HDMI (50m) WIRE</v>
      </c>
      <c r="G162" t="str">
        <f>_xlfn.XLOOKUP(E162,'KING TON SALES__ RAW DATA'!$A$2:$A$271,'KING TON SALES__ RAW DATA'!$D$2:$D$271)</f>
        <v>WIRE</v>
      </c>
      <c r="H162" s="6">
        <f>_xlfn.XLOOKUP(E162,'KING TON SALES__ RAW DATA'!$A$2:$A$271,'KING TON SALES__ RAW DATA'!$G$2:$G$271)</f>
        <v>30000</v>
      </c>
      <c r="I162">
        <v>24</v>
      </c>
      <c r="J162" s="6">
        <f>_xlfn.XLOOKUP(E162,'KING TON SALES__ RAW DATA'!$A$2:$A$271,'KING TON SALES__ RAW DATA'!$I$2:$I$271)</f>
        <v>45000</v>
      </c>
      <c r="K162" s="6">
        <f t="shared" si="6"/>
        <v>720000</v>
      </c>
      <c r="L162" s="6">
        <f t="shared" si="7"/>
        <v>1080000</v>
      </c>
      <c r="M162" s="6">
        <f t="shared" si="8"/>
        <v>360000</v>
      </c>
      <c r="N162" t="str">
        <f>_xlfn.XLOOKUP(E162,'KING TON SALES__ RAW DATA'!$A$2:$A$271,'KING TON SALES__ RAW DATA'!$M$2:$M$271)</f>
        <v>TRANSFER</v>
      </c>
    </row>
    <row r="163" spans="1:14">
      <c r="A163" s="7">
        <v>6824</v>
      </c>
      <c r="B163" s="8">
        <v>46256</v>
      </c>
      <c r="C163" t="s">
        <v>33</v>
      </c>
      <c r="D163" t="s">
        <v>23</v>
      </c>
      <c r="E163" t="s">
        <v>65</v>
      </c>
      <c r="F163" t="str">
        <f>_xlfn.XLOOKUP(E163,'KING TON SALES__ RAW DATA'!$A$2:$A$271,'KING TON SALES__ RAW DATA'!$B$2:$B$271)</f>
        <v>4K HDMI (10m) WIRE</v>
      </c>
      <c r="G163" t="str">
        <f>_xlfn.XLOOKUP(E163,'KING TON SALES__ RAW DATA'!$A$2:$A$271,'KING TON SALES__ RAW DATA'!$D$2:$D$271)</f>
        <v>WIRE</v>
      </c>
      <c r="H163" s="6">
        <f>_xlfn.XLOOKUP(E163,'KING TON SALES__ RAW DATA'!$A$2:$A$271,'KING TON SALES__ RAW DATA'!$G$2:$G$271)</f>
        <v>5000</v>
      </c>
      <c r="I163">
        <v>18</v>
      </c>
      <c r="J163" s="6">
        <f>_xlfn.XLOOKUP(E163,'KING TON SALES__ RAW DATA'!$A$2:$A$271,'KING TON SALES__ RAW DATA'!$I$2:$I$271)</f>
        <v>15000</v>
      </c>
      <c r="K163" s="6">
        <f t="shared" si="6"/>
        <v>90000</v>
      </c>
      <c r="L163" s="6">
        <f t="shared" si="7"/>
        <v>270000</v>
      </c>
      <c r="M163" s="6">
        <f t="shared" si="8"/>
        <v>180000</v>
      </c>
      <c r="N163" t="str">
        <f>_xlfn.XLOOKUP(E163,'KING TON SALES__ RAW DATA'!$A$2:$A$271,'KING TON SALES__ RAW DATA'!$M$2:$M$271)</f>
        <v>CASH</v>
      </c>
    </row>
    <row r="164" spans="1:14">
      <c r="A164" s="7">
        <v>6825</v>
      </c>
      <c r="B164" s="8">
        <v>46226</v>
      </c>
      <c r="C164" t="s">
        <v>19</v>
      </c>
      <c r="D164" t="s">
        <v>18</v>
      </c>
      <c r="E164" t="s">
        <v>93</v>
      </c>
      <c r="F164" t="str">
        <f>_xlfn.XLOOKUP(E164,'KING TON SALES__ RAW DATA'!$A$2:$A$271,'KING TON SALES__ RAW DATA'!$B$2:$B$271)</f>
        <v>KAPU WIRE</v>
      </c>
      <c r="G164" t="str">
        <f>_xlfn.XLOOKUP(E164,'KING TON SALES__ RAW DATA'!$A$2:$A$271,'KING TON SALES__ RAW DATA'!$D$2:$D$271)</f>
        <v>WIRE</v>
      </c>
      <c r="H164" s="6">
        <f>_xlfn.XLOOKUP(E164,'KING TON SALES__ RAW DATA'!$A$2:$A$271,'KING TON SALES__ RAW DATA'!$G$2:$G$271)</f>
        <v>60000</v>
      </c>
      <c r="I164">
        <v>17</v>
      </c>
      <c r="J164" s="6">
        <f>_xlfn.XLOOKUP(E164,'KING TON SALES__ RAW DATA'!$A$2:$A$271,'KING TON SALES__ RAW DATA'!$I$2:$I$271)</f>
        <v>100000</v>
      </c>
      <c r="K164" s="6">
        <f t="shared" si="6"/>
        <v>1020000</v>
      </c>
      <c r="L164" s="6">
        <f t="shared" si="7"/>
        <v>1700000</v>
      </c>
      <c r="M164" s="6">
        <f t="shared" si="8"/>
        <v>680000</v>
      </c>
      <c r="N164" t="str">
        <f>_xlfn.XLOOKUP(E164,'KING TON SALES__ RAW DATA'!$A$2:$A$271,'KING TON SALES__ RAW DATA'!$M$2:$M$271)</f>
        <v>CASH</v>
      </c>
    </row>
    <row r="165" spans="1:14">
      <c r="A165" s="7">
        <v>6826</v>
      </c>
      <c r="B165" s="8">
        <v>46205</v>
      </c>
      <c r="C165" t="s">
        <v>52</v>
      </c>
      <c r="D165" t="s">
        <v>18</v>
      </c>
      <c r="E165" t="s">
        <v>144</v>
      </c>
      <c r="F165" t="str">
        <f>_xlfn.XLOOKUP(E165,'KING TON SALES__ RAW DATA'!$A$2:$A$271,'KING TON SALES__ RAW DATA'!$B$2:$B$271)</f>
        <v>BENJOR EXTENTION 6 MOUTH</v>
      </c>
      <c r="G165" t="str">
        <f>_xlfn.XLOOKUP(E165,'KING TON SALES__ RAW DATA'!$A$2:$A$271,'KING TON SALES__ RAW DATA'!$D$2:$D$271)</f>
        <v>ELECTRICAL</v>
      </c>
      <c r="H165" s="6">
        <f>_xlfn.XLOOKUP(E165,'KING TON SALES__ RAW DATA'!$A$2:$A$271,'KING TON SALES__ RAW DATA'!$G$2:$G$271)</f>
        <v>6000</v>
      </c>
      <c r="I165">
        <v>19</v>
      </c>
      <c r="J165" s="6">
        <f>_xlfn.XLOOKUP(E165,'KING TON SALES__ RAW DATA'!$A$2:$A$271,'KING TON SALES__ RAW DATA'!$I$2:$I$271)</f>
        <v>12000</v>
      </c>
      <c r="K165" s="6">
        <f t="shared" si="6"/>
        <v>114000</v>
      </c>
      <c r="L165" s="6">
        <f t="shared" si="7"/>
        <v>228000</v>
      </c>
      <c r="M165" s="6">
        <f t="shared" si="8"/>
        <v>114000</v>
      </c>
      <c r="N165" t="str">
        <f>_xlfn.XLOOKUP(E165,'KING TON SALES__ RAW DATA'!$A$2:$A$271,'KING TON SALES__ RAW DATA'!$M$2:$M$271)</f>
        <v>TRANSFER</v>
      </c>
    </row>
    <row r="166" spans="1:14">
      <c r="A166" s="7">
        <v>6827</v>
      </c>
      <c r="B166" s="8">
        <v>46241</v>
      </c>
      <c r="C166" t="s">
        <v>33</v>
      </c>
      <c r="D166" t="s">
        <v>23</v>
      </c>
      <c r="E166" t="s">
        <v>79</v>
      </c>
      <c r="F166" t="str">
        <f>_xlfn.XLOOKUP(E166,'KING TON SALES__ RAW DATA'!$A$2:$A$271,'KING TON SALES__ RAW DATA'!$B$2:$B$271)</f>
        <v>BLUE 4K HDMI (10m) WIRE</v>
      </c>
      <c r="G166" t="str">
        <f>_xlfn.XLOOKUP(E166,'KING TON SALES__ RAW DATA'!$A$2:$A$271,'KING TON SALES__ RAW DATA'!$D$2:$D$271)</f>
        <v>WIRE</v>
      </c>
      <c r="H166" s="6">
        <f>_xlfn.XLOOKUP(E166,'KING TON SALES__ RAW DATA'!$A$2:$A$271,'KING TON SALES__ RAW DATA'!$G$2:$G$271)</f>
        <v>6000</v>
      </c>
      <c r="I166">
        <v>18</v>
      </c>
      <c r="J166" s="6">
        <f>_xlfn.XLOOKUP(E166,'KING TON SALES__ RAW DATA'!$A$2:$A$271,'KING TON SALES__ RAW DATA'!$I$2:$I$271)</f>
        <v>12000</v>
      </c>
      <c r="K166" s="6">
        <f t="shared" si="6"/>
        <v>108000</v>
      </c>
      <c r="L166" s="6">
        <f t="shared" si="7"/>
        <v>216000</v>
      </c>
      <c r="M166" s="6">
        <f t="shared" si="8"/>
        <v>108000</v>
      </c>
      <c r="N166" t="str">
        <f>_xlfn.XLOOKUP(E166,'KING TON SALES__ RAW DATA'!$A$2:$A$271,'KING TON SALES__ RAW DATA'!$M$2:$M$271)</f>
        <v>TRANSFER</v>
      </c>
    </row>
    <row r="167" spans="1:14">
      <c r="A167" s="7">
        <v>6828</v>
      </c>
      <c r="B167" s="8">
        <v>46206</v>
      </c>
      <c r="C167" t="s">
        <v>33</v>
      </c>
      <c r="D167" t="s">
        <v>23</v>
      </c>
      <c r="E167" t="s">
        <v>126</v>
      </c>
      <c r="F167" t="str">
        <f>_xlfn.XLOOKUP(E167,'KING TON SALES__ RAW DATA'!$A$2:$A$271,'KING TON SALES__ RAW DATA'!$B$2:$B$271)</f>
        <v>BIG GENERATOR PLUG HEAD</v>
      </c>
      <c r="G167" t="str">
        <f>_xlfn.XLOOKUP(E167,'KING TON SALES__ RAW DATA'!$A$2:$A$271,'KING TON SALES__ RAW DATA'!$D$2:$D$271)</f>
        <v>ELECTRICAL</v>
      </c>
      <c r="H167" s="6">
        <f>_xlfn.XLOOKUP(E167,'KING TON SALES__ RAW DATA'!$A$2:$A$271,'KING TON SALES__ RAW DATA'!$G$2:$G$271)</f>
        <v>200</v>
      </c>
      <c r="I167">
        <v>18</v>
      </c>
      <c r="J167" s="6">
        <f>_xlfn.XLOOKUP(E167,'KING TON SALES__ RAW DATA'!$A$2:$A$271,'KING TON SALES__ RAW DATA'!$I$2:$I$271)</f>
        <v>500</v>
      </c>
      <c r="K167" s="6">
        <f t="shared" si="6"/>
        <v>3600</v>
      </c>
      <c r="L167" s="6">
        <f t="shared" si="7"/>
        <v>9000</v>
      </c>
      <c r="M167" s="6">
        <f t="shared" si="8"/>
        <v>5400</v>
      </c>
      <c r="N167" t="str">
        <f>_xlfn.XLOOKUP(E167,'KING TON SALES__ RAW DATA'!$A$2:$A$271,'KING TON SALES__ RAW DATA'!$M$2:$M$271)</f>
        <v>POS</v>
      </c>
    </row>
    <row r="168" spans="1:14">
      <c r="A168" s="7">
        <v>6829</v>
      </c>
      <c r="B168" s="8">
        <v>46264</v>
      </c>
      <c r="C168" t="s">
        <v>36</v>
      </c>
      <c r="D168" t="s">
        <v>23</v>
      </c>
      <c r="E168" t="s">
        <v>71</v>
      </c>
      <c r="F168" t="str">
        <f>_xlfn.XLOOKUP(E168,'KING TON SALES__ RAW DATA'!$A$2:$A$271,'KING TON SALES__ RAW DATA'!$B$2:$B$271)</f>
        <v>4K HDMI (100m) WIRE</v>
      </c>
      <c r="G168" t="str">
        <f>_xlfn.XLOOKUP(E168,'KING TON SALES__ RAW DATA'!$A$2:$A$271,'KING TON SALES__ RAW DATA'!$D$2:$D$271)</f>
        <v>WIRE</v>
      </c>
      <c r="H168" s="6">
        <f>_xlfn.XLOOKUP(E168,'KING TON SALES__ RAW DATA'!$A$2:$A$271,'KING TON SALES__ RAW DATA'!$G$2:$G$271)</f>
        <v>60000</v>
      </c>
      <c r="I168">
        <v>22</v>
      </c>
      <c r="J168" s="6">
        <f>_xlfn.XLOOKUP(E168,'KING TON SALES__ RAW DATA'!$A$2:$A$271,'KING TON SALES__ RAW DATA'!$I$2:$I$271)</f>
        <v>100000</v>
      </c>
      <c r="K168" s="6">
        <f t="shared" si="6"/>
        <v>1320000</v>
      </c>
      <c r="L168" s="6">
        <f t="shared" si="7"/>
        <v>2200000</v>
      </c>
      <c r="M168" s="6">
        <f t="shared" si="8"/>
        <v>880000</v>
      </c>
      <c r="N168" t="str">
        <f>_xlfn.XLOOKUP(E168,'KING TON SALES__ RAW DATA'!$A$2:$A$271,'KING TON SALES__ RAW DATA'!$M$2:$M$271)</f>
        <v>POS</v>
      </c>
    </row>
    <row r="169" spans="1:14">
      <c r="A169" s="7">
        <v>6830</v>
      </c>
      <c r="B169" s="8">
        <v>46227</v>
      </c>
      <c r="C169" t="s">
        <v>19</v>
      </c>
      <c r="D169" t="s">
        <v>23</v>
      </c>
      <c r="E169" t="s">
        <v>85</v>
      </c>
      <c r="F169" t="str">
        <f>_xlfn.XLOOKUP(E169,'KING TON SALES__ RAW DATA'!$A$2:$A$271,'KING TON SALES__ RAW DATA'!$B$2:$B$271)</f>
        <v>DC TO DC MALE (3m) WIRE</v>
      </c>
      <c r="G169" t="str">
        <f>_xlfn.XLOOKUP(E169,'KING TON SALES__ RAW DATA'!$A$2:$A$271,'KING TON SALES__ RAW DATA'!$D$2:$D$271)</f>
        <v>WIRE</v>
      </c>
      <c r="H169" s="6">
        <f>_xlfn.XLOOKUP(E169,'KING TON SALES__ RAW DATA'!$A$2:$A$271,'KING TON SALES__ RAW DATA'!$G$2:$G$271)</f>
        <v>500</v>
      </c>
      <c r="I169">
        <v>20</v>
      </c>
      <c r="J169" s="6">
        <f>_xlfn.XLOOKUP(E169,'KING TON SALES__ RAW DATA'!$A$2:$A$271,'KING TON SALES__ RAW DATA'!$I$2:$I$271)</f>
        <v>1000</v>
      </c>
      <c r="K169" s="6">
        <f t="shared" si="6"/>
        <v>10000</v>
      </c>
      <c r="L169" s="6">
        <f t="shared" si="7"/>
        <v>20000</v>
      </c>
      <c r="M169" s="6">
        <f t="shared" si="8"/>
        <v>10000</v>
      </c>
      <c r="N169" t="str">
        <f>_xlfn.XLOOKUP(E169,'KING TON SALES__ RAW DATA'!$A$2:$A$271,'KING TON SALES__ RAW DATA'!$M$2:$M$271)</f>
        <v>POS</v>
      </c>
    </row>
    <row r="170" spans="1:14">
      <c r="A170" s="7">
        <v>6831</v>
      </c>
      <c r="B170" s="8">
        <v>46257</v>
      </c>
      <c r="C170" t="s">
        <v>19</v>
      </c>
      <c r="D170" t="s">
        <v>23</v>
      </c>
      <c r="E170" t="s">
        <v>130</v>
      </c>
      <c r="F170" t="str">
        <f>_xlfn.XLOOKUP(E170,'KING TON SALES__ RAW DATA'!$A$2:$A$271,'KING TON SALES__ RAW DATA'!$B$2:$B$271)</f>
        <v>A&amp;Z MULTI </v>
      </c>
      <c r="G170" t="str">
        <f>_xlfn.XLOOKUP(E170,'KING TON SALES__ RAW DATA'!$A$2:$A$271,'KING TON SALES__ RAW DATA'!$D$2:$D$271)</f>
        <v>ELECTRICAL</v>
      </c>
      <c r="H170" s="6">
        <f>_xlfn.XLOOKUP(E170,'KING TON SALES__ RAW DATA'!$A$2:$A$271,'KING TON SALES__ RAW DATA'!$G$2:$G$271)</f>
        <v>700</v>
      </c>
      <c r="I170">
        <v>17</v>
      </c>
      <c r="J170" s="6">
        <f>_xlfn.XLOOKUP(E170,'KING TON SALES__ RAW DATA'!$A$2:$A$271,'KING TON SALES__ RAW DATA'!$I$2:$I$271)</f>
        <v>2000</v>
      </c>
      <c r="K170" s="6">
        <f t="shared" si="6"/>
        <v>11900</v>
      </c>
      <c r="L170" s="6">
        <f t="shared" si="7"/>
        <v>34000</v>
      </c>
      <c r="M170" s="6">
        <f t="shared" si="8"/>
        <v>22100</v>
      </c>
      <c r="N170" t="str">
        <f>_xlfn.XLOOKUP(E170,'KING TON SALES__ RAW DATA'!$A$2:$A$271,'KING TON SALES__ RAW DATA'!$M$2:$M$271)</f>
        <v>POS</v>
      </c>
    </row>
    <row r="171" spans="1:14">
      <c r="A171" s="7">
        <v>6832</v>
      </c>
      <c r="B171" s="8">
        <v>46246</v>
      </c>
      <c r="C171" t="s">
        <v>52</v>
      </c>
      <c r="D171" t="s">
        <v>23</v>
      </c>
      <c r="E171" t="s">
        <v>111</v>
      </c>
      <c r="F171" t="str">
        <f>_xlfn.XLOOKUP(E171,'KING TON SALES__ RAW DATA'!$A$2:$A$271,'KING TON SALES__ RAW DATA'!$B$2:$B$271)</f>
        <v>OPTICAL CABLE (3m)</v>
      </c>
      <c r="G171" t="str">
        <f>_xlfn.XLOOKUP(E171,'KING TON SALES__ RAW DATA'!$A$2:$A$271,'KING TON SALES__ RAW DATA'!$D$2:$D$271)</f>
        <v>WIRE</v>
      </c>
      <c r="H171" s="6">
        <f>_xlfn.XLOOKUP(E171,'KING TON SALES__ RAW DATA'!$A$2:$A$271,'KING TON SALES__ RAW DATA'!$G$2:$G$271)</f>
        <v>2500</v>
      </c>
      <c r="I171">
        <v>22</v>
      </c>
      <c r="J171" s="6">
        <f>_xlfn.XLOOKUP(E171,'KING TON SALES__ RAW DATA'!$A$2:$A$271,'KING TON SALES__ RAW DATA'!$I$2:$I$271)</f>
        <v>5000</v>
      </c>
      <c r="K171" s="6">
        <f t="shared" si="6"/>
        <v>55000</v>
      </c>
      <c r="L171" s="6">
        <f t="shared" si="7"/>
        <v>110000</v>
      </c>
      <c r="M171" s="6">
        <f t="shared" si="8"/>
        <v>55000</v>
      </c>
      <c r="N171" t="str">
        <f>_xlfn.XLOOKUP(E171,'KING TON SALES__ RAW DATA'!$A$2:$A$271,'KING TON SALES__ RAW DATA'!$M$2:$M$271)</f>
        <v>POS</v>
      </c>
    </row>
    <row r="172" spans="1:14">
      <c r="A172" s="7">
        <v>6833</v>
      </c>
      <c r="B172" s="8">
        <v>46259</v>
      </c>
      <c r="C172" t="s">
        <v>52</v>
      </c>
      <c r="D172" t="s">
        <v>23</v>
      </c>
      <c r="E172" t="s">
        <v>50</v>
      </c>
      <c r="F172" t="str">
        <f>_xlfn.XLOOKUP(E172,'KING TON SALES__ RAW DATA'!$A$2:$A$271,'KING TON SALES__ RAW DATA'!$B$2:$B$271)</f>
        <v>HDMI (5m) WIRE</v>
      </c>
      <c r="G172" t="str">
        <f>_xlfn.XLOOKUP(E172,'KING TON SALES__ RAW DATA'!$A$2:$A$271,'KING TON SALES__ RAW DATA'!$D$2:$D$271)</f>
        <v>WIRE</v>
      </c>
      <c r="H172" s="6">
        <f>_xlfn.XLOOKUP(E172,'KING TON SALES__ RAW DATA'!$A$2:$A$271,'KING TON SALES__ RAW DATA'!$G$2:$G$271)</f>
        <v>1200</v>
      </c>
      <c r="I172">
        <v>20</v>
      </c>
      <c r="J172" s="6">
        <f>_xlfn.XLOOKUP(E172,'KING TON SALES__ RAW DATA'!$A$2:$A$271,'KING TON SALES__ RAW DATA'!$I$2:$I$271)</f>
        <v>2500</v>
      </c>
      <c r="K172" s="6">
        <f t="shared" si="6"/>
        <v>24000</v>
      </c>
      <c r="L172" s="6">
        <f t="shared" si="7"/>
        <v>50000</v>
      </c>
      <c r="M172" s="6">
        <f t="shared" si="8"/>
        <v>26000</v>
      </c>
      <c r="N172" t="str">
        <f>_xlfn.XLOOKUP(E172,'KING TON SALES__ RAW DATA'!$A$2:$A$271,'KING TON SALES__ RAW DATA'!$M$2:$M$271)</f>
        <v>CASH</v>
      </c>
    </row>
    <row r="173" spans="1:14">
      <c r="A173" s="7">
        <v>6834</v>
      </c>
      <c r="B173" s="8">
        <v>46208</v>
      </c>
      <c r="C173" t="s">
        <v>33</v>
      </c>
      <c r="D173" t="s">
        <v>23</v>
      </c>
      <c r="E173" t="s">
        <v>48</v>
      </c>
      <c r="F173" t="str">
        <f>_xlfn.XLOOKUP(E173,'KING TON SALES__ RAW DATA'!$A$2:$A$271,'KING TON SALES__ RAW DATA'!$B$2:$B$271)</f>
        <v>HDMI (3m) WIRE</v>
      </c>
      <c r="G173" t="str">
        <f>_xlfn.XLOOKUP(E173,'KING TON SALES__ RAW DATA'!$A$2:$A$271,'KING TON SALES__ RAW DATA'!$D$2:$D$271)</f>
        <v>WIRE</v>
      </c>
      <c r="H173" s="6">
        <f>_xlfn.XLOOKUP(E173,'KING TON SALES__ RAW DATA'!$A$2:$A$271,'KING TON SALES__ RAW DATA'!$G$2:$G$271)</f>
        <v>600</v>
      </c>
      <c r="I173">
        <v>24</v>
      </c>
      <c r="J173" s="6">
        <f>_xlfn.XLOOKUP(E173,'KING TON SALES__ RAW DATA'!$A$2:$A$271,'KING TON SALES__ RAW DATA'!$I$2:$I$271)</f>
        <v>1500</v>
      </c>
      <c r="K173" s="6">
        <f t="shared" si="6"/>
        <v>14400</v>
      </c>
      <c r="L173" s="6">
        <f t="shared" si="7"/>
        <v>36000</v>
      </c>
      <c r="M173" s="6">
        <f t="shared" si="8"/>
        <v>21600</v>
      </c>
      <c r="N173" t="str">
        <f>_xlfn.XLOOKUP(E173,'KING TON SALES__ RAW DATA'!$A$2:$A$271,'KING TON SALES__ RAW DATA'!$M$2:$M$271)</f>
        <v>CASH</v>
      </c>
    </row>
    <row r="174" spans="1:14">
      <c r="A174" s="7">
        <v>6835</v>
      </c>
      <c r="B174" s="8">
        <v>46259</v>
      </c>
      <c r="C174" t="s">
        <v>43</v>
      </c>
      <c r="D174" t="s">
        <v>18</v>
      </c>
      <c r="E174" t="s">
        <v>41</v>
      </c>
      <c r="F174" t="str">
        <f>_xlfn.XLOOKUP(E174,'KING TON SALES__ RAW DATA'!$A$2:$A$271,'KING TON SALES__ RAW DATA'!$B$2:$B$271)</f>
        <v>3 TO 3 AV (10m) WIRE</v>
      </c>
      <c r="G174" t="str">
        <f>_xlfn.XLOOKUP(E174,'KING TON SALES__ RAW DATA'!$A$2:$A$271,'KING TON SALES__ RAW DATA'!$D$2:$D$271)</f>
        <v>WIRE</v>
      </c>
      <c r="H174" s="6">
        <f>_xlfn.XLOOKUP(E174,'KING TON SALES__ RAW DATA'!$A$2:$A$271,'KING TON SALES__ RAW DATA'!$G$2:$G$271)</f>
        <v>1500</v>
      </c>
      <c r="I174">
        <v>18</v>
      </c>
      <c r="J174" s="6">
        <f>_xlfn.XLOOKUP(E174,'KING TON SALES__ RAW DATA'!$A$2:$A$271,'KING TON SALES__ RAW DATA'!$I$2:$I$271)</f>
        <v>3500</v>
      </c>
      <c r="K174" s="6">
        <f t="shared" si="6"/>
        <v>27000</v>
      </c>
      <c r="L174" s="6">
        <f t="shared" si="7"/>
        <v>63000</v>
      </c>
      <c r="M174" s="6">
        <f t="shared" si="8"/>
        <v>36000</v>
      </c>
      <c r="N174" t="str">
        <f>_xlfn.XLOOKUP(E174,'KING TON SALES__ RAW DATA'!$A$2:$A$271,'KING TON SALES__ RAW DATA'!$M$2:$M$271)</f>
        <v>POS</v>
      </c>
    </row>
    <row r="175" spans="1:14">
      <c r="A175" s="7">
        <v>6836</v>
      </c>
      <c r="B175" s="8">
        <v>46237</v>
      </c>
      <c r="C175" t="s">
        <v>33</v>
      </c>
      <c r="D175" t="s">
        <v>23</v>
      </c>
      <c r="E175" t="s">
        <v>79</v>
      </c>
      <c r="F175" t="str">
        <f>_xlfn.XLOOKUP(E175,'KING TON SALES__ RAW DATA'!$A$2:$A$271,'KING TON SALES__ RAW DATA'!$B$2:$B$271)</f>
        <v>BLUE 4K HDMI (10m) WIRE</v>
      </c>
      <c r="G175" t="str">
        <f>_xlfn.XLOOKUP(E175,'KING TON SALES__ RAW DATA'!$A$2:$A$271,'KING TON SALES__ RAW DATA'!$D$2:$D$271)</f>
        <v>WIRE</v>
      </c>
      <c r="H175" s="6">
        <f>_xlfn.XLOOKUP(E175,'KING TON SALES__ RAW DATA'!$A$2:$A$271,'KING TON SALES__ RAW DATA'!$G$2:$G$271)</f>
        <v>6000</v>
      </c>
      <c r="I175">
        <v>21</v>
      </c>
      <c r="J175" s="6">
        <f>_xlfn.XLOOKUP(E175,'KING TON SALES__ RAW DATA'!$A$2:$A$271,'KING TON SALES__ RAW DATA'!$I$2:$I$271)</f>
        <v>12000</v>
      </c>
      <c r="K175" s="6">
        <f t="shared" si="6"/>
        <v>126000</v>
      </c>
      <c r="L175" s="6">
        <f t="shared" si="7"/>
        <v>252000</v>
      </c>
      <c r="M175" s="6">
        <f t="shared" si="8"/>
        <v>126000</v>
      </c>
      <c r="N175" t="str">
        <f>_xlfn.XLOOKUP(E175,'KING TON SALES__ RAW DATA'!$A$2:$A$271,'KING TON SALES__ RAW DATA'!$M$2:$M$271)</f>
        <v>TRANSFER</v>
      </c>
    </row>
    <row r="176" spans="1:14">
      <c r="A176" s="7">
        <v>6837</v>
      </c>
      <c r="B176" s="8">
        <v>46216</v>
      </c>
      <c r="C176" t="s">
        <v>19</v>
      </c>
      <c r="D176" t="s">
        <v>18</v>
      </c>
      <c r="E176" t="s">
        <v>138</v>
      </c>
      <c r="F176" t="str">
        <f>_xlfn.XLOOKUP(E176,'KING TON SALES__ RAW DATA'!$A$2:$A$271,'KING TON SALES__ RAW DATA'!$B$2:$B$271)</f>
        <v>MULTI (APC) EXTENTION 6 MOUTH</v>
      </c>
      <c r="G176" t="str">
        <f>_xlfn.XLOOKUP(E176,'KING TON SALES__ RAW DATA'!$A$2:$A$271,'KING TON SALES__ RAW DATA'!$D$2:$D$271)</f>
        <v>ELECTRICAL</v>
      </c>
      <c r="H176" s="6">
        <f>_xlfn.XLOOKUP(E176,'KING TON SALES__ RAW DATA'!$A$2:$A$271,'KING TON SALES__ RAW DATA'!$G$2:$G$271)</f>
        <v>7000</v>
      </c>
      <c r="I176">
        <v>21</v>
      </c>
      <c r="J176" s="6">
        <f>_xlfn.XLOOKUP(E176,'KING TON SALES__ RAW DATA'!$A$2:$A$271,'KING TON SALES__ RAW DATA'!$I$2:$I$271)</f>
        <v>12000</v>
      </c>
      <c r="K176" s="6">
        <f t="shared" si="6"/>
        <v>147000</v>
      </c>
      <c r="L176" s="6">
        <f t="shared" si="7"/>
        <v>252000</v>
      </c>
      <c r="M176" s="6">
        <f t="shared" si="8"/>
        <v>105000</v>
      </c>
      <c r="N176" t="str">
        <f>_xlfn.XLOOKUP(E176,'KING TON SALES__ RAW DATA'!$A$2:$A$271,'KING TON SALES__ RAW DATA'!$M$2:$M$271)</f>
        <v>CASH</v>
      </c>
    </row>
    <row r="177" spans="1:14">
      <c r="A177" s="7">
        <v>6838</v>
      </c>
      <c r="B177" s="8">
        <v>46242</v>
      </c>
      <c r="C177" t="s">
        <v>52</v>
      </c>
      <c r="D177" t="s">
        <v>23</v>
      </c>
      <c r="E177" t="s">
        <v>50</v>
      </c>
      <c r="F177" t="str">
        <f>_xlfn.XLOOKUP(E177,'KING TON SALES__ RAW DATA'!$A$2:$A$271,'KING TON SALES__ RAW DATA'!$B$2:$B$271)</f>
        <v>HDMI (5m) WIRE</v>
      </c>
      <c r="G177" t="str">
        <f>_xlfn.XLOOKUP(E177,'KING TON SALES__ RAW DATA'!$A$2:$A$271,'KING TON SALES__ RAW DATA'!$D$2:$D$271)</f>
        <v>WIRE</v>
      </c>
      <c r="H177" s="6">
        <f>_xlfn.XLOOKUP(E177,'KING TON SALES__ RAW DATA'!$A$2:$A$271,'KING TON SALES__ RAW DATA'!$G$2:$G$271)</f>
        <v>1200</v>
      </c>
      <c r="I177">
        <v>24</v>
      </c>
      <c r="J177" s="6">
        <f>_xlfn.XLOOKUP(E177,'KING TON SALES__ RAW DATA'!$A$2:$A$271,'KING TON SALES__ RAW DATA'!$I$2:$I$271)</f>
        <v>2500</v>
      </c>
      <c r="K177" s="6">
        <f t="shared" si="6"/>
        <v>28800</v>
      </c>
      <c r="L177" s="6">
        <f t="shared" si="7"/>
        <v>60000</v>
      </c>
      <c r="M177" s="6">
        <f t="shared" si="8"/>
        <v>31200</v>
      </c>
      <c r="N177" t="str">
        <f>_xlfn.XLOOKUP(E177,'KING TON SALES__ RAW DATA'!$A$2:$A$271,'KING TON SALES__ RAW DATA'!$M$2:$M$271)</f>
        <v>CASH</v>
      </c>
    </row>
    <row r="178" spans="1:14">
      <c r="A178" s="7">
        <v>6839</v>
      </c>
      <c r="B178" s="8">
        <v>46246</v>
      </c>
      <c r="C178" t="s">
        <v>19</v>
      </c>
      <c r="D178" t="s">
        <v>18</v>
      </c>
      <c r="E178" t="s">
        <v>28</v>
      </c>
      <c r="F178" t="str">
        <f>_xlfn.XLOOKUP(E178,'KING TON SALES__ RAW DATA'!$A$2:$A$271,'KING TON SALES__ RAW DATA'!$B$2:$B$271)</f>
        <v>1 TO 1 AUX (1.5m) WIRE</v>
      </c>
      <c r="G178" t="str">
        <f>_xlfn.XLOOKUP(E178,'KING TON SALES__ RAW DATA'!$A$2:$A$271,'KING TON SALES__ RAW DATA'!$D$2:$D$271)</f>
        <v>WIRE</v>
      </c>
      <c r="H178" s="6">
        <f>_xlfn.XLOOKUP(E178,'KING TON SALES__ RAW DATA'!$A$2:$A$271,'KING TON SALES__ RAW DATA'!$G$2:$G$271)</f>
        <v>500</v>
      </c>
      <c r="I178">
        <v>20</v>
      </c>
      <c r="J178" s="6">
        <f>_xlfn.XLOOKUP(E178,'KING TON SALES__ RAW DATA'!$A$2:$A$271,'KING TON SALES__ RAW DATA'!$I$2:$I$271)</f>
        <v>1000</v>
      </c>
      <c r="K178" s="6">
        <f t="shared" si="6"/>
        <v>10000</v>
      </c>
      <c r="L178" s="6">
        <f t="shared" si="7"/>
        <v>20000</v>
      </c>
      <c r="M178" s="6">
        <f t="shared" si="8"/>
        <v>10000</v>
      </c>
      <c r="N178" t="str">
        <f>_xlfn.XLOOKUP(E178,'KING TON SALES__ RAW DATA'!$A$2:$A$271,'KING TON SALES__ RAW DATA'!$M$2:$M$271)</f>
        <v>TRANSFER</v>
      </c>
    </row>
    <row r="179" spans="1:14">
      <c r="A179" s="7">
        <v>6840</v>
      </c>
      <c r="B179" s="8">
        <v>46241</v>
      </c>
      <c r="C179" t="s">
        <v>19</v>
      </c>
      <c r="D179" t="s">
        <v>23</v>
      </c>
      <c r="E179" t="s">
        <v>55</v>
      </c>
      <c r="F179" t="str">
        <f>_xlfn.XLOOKUP(E179,'KING TON SALES__ RAW DATA'!$A$2:$A$271,'KING TON SALES__ RAW DATA'!$B$2:$B$271)</f>
        <v>HDMI (15m) WIRE</v>
      </c>
      <c r="G179" t="str">
        <f>_xlfn.XLOOKUP(E179,'KING TON SALES__ RAW DATA'!$A$2:$A$271,'KING TON SALES__ RAW DATA'!$D$2:$D$271)</f>
        <v>WIRE</v>
      </c>
      <c r="H179" s="6">
        <f>_xlfn.XLOOKUP(E179,'KING TON SALES__ RAW DATA'!$A$2:$A$271,'KING TON SALES__ RAW DATA'!$G$2:$G$271)</f>
        <v>3000</v>
      </c>
      <c r="I179">
        <v>18</v>
      </c>
      <c r="J179" s="6">
        <f>_xlfn.XLOOKUP(E179,'KING TON SALES__ RAW DATA'!$A$2:$A$271,'KING TON SALES__ RAW DATA'!$I$2:$I$271)</f>
        <v>8000</v>
      </c>
      <c r="K179" s="6">
        <f t="shared" si="6"/>
        <v>54000</v>
      </c>
      <c r="L179" s="6">
        <f t="shared" si="7"/>
        <v>144000</v>
      </c>
      <c r="M179" s="6">
        <f t="shared" si="8"/>
        <v>90000</v>
      </c>
      <c r="N179" t="str">
        <f>_xlfn.XLOOKUP(E179,'KING TON SALES__ RAW DATA'!$A$2:$A$271,'KING TON SALES__ RAW DATA'!$M$2:$M$271)</f>
        <v>TRANSFER</v>
      </c>
    </row>
    <row r="180" spans="1:14">
      <c r="A180" s="7">
        <v>6841</v>
      </c>
      <c r="B180" s="8">
        <v>46216</v>
      </c>
      <c r="C180" t="s">
        <v>19</v>
      </c>
      <c r="D180" t="s">
        <v>23</v>
      </c>
      <c r="E180" t="s">
        <v>89</v>
      </c>
      <c r="F180" t="str">
        <f>_xlfn.XLOOKUP(E180,'KING TON SALES__ RAW DATA'!$A$2:$A$271,'KING TON SALES__ RAW DATA'!$B$2:$B$271)</f>
        <v>DC TO FEMALE DC (1.5) WIRE</v>
      </c>
      <c r="G180" t="str">
        <f>_xlfn.XLOOKUP(E180,'KING TON SALES__ RAW DATA'!$A$2:$A$271,'KING TON SALES__ RAW DATA'!$D$2:$D$271)</f>
        <v>WIRE</v>
      </c>
      <c r="H180" s="6">
        <f>_xlfn.XLOOKUP(E180,'KING TON SALES__ RAW DATA'!$A$2:$A$271,'KING TON SALES__ RAW DATA'!$G$2:$G$271)</f>
        <v>500</v>
      </c>
      <c r="I180">
        <v>17</v>
      </c>
      <c r="J180" s="6">
        <f>_xlfn.XLOOKUP(E180,'KING TON SALES__ RAW DATA'!$A$2:$A$271,'KING TON SALES__ RAW DATA'!$I$2:$I$271)</f>
        <v>1500</v>
      </c>
      <c r="K180" s="6">
        <f t="shared" si="6"/>
        <v>8500</v>
      </c>
      <c r="L180" s="6">
        <f t="shared" si="7"/>
        <v>25500</v>
      </c>
      <c r="M180" s="6">
        <f t="shared" si="8"/>
        <v>17000</v>
      </c>
      <c r="N180" t="str">
        <f>_xlfn.XLOOKUP(E180,'KING TON SALES__ RAW DATA'!$A$2:$A$271,'KING TON SALES__ RAW DATA'!$M$2:$M$271)</f>
        <v>POS</v>
      </c>
    </row>
    <row r="181" spans="1:14">
      <c r="A181" s="7">
        <v>6842</v>
      </c>
      <c r="B181" s="8">
        <v>46264</v>
      </c>
      <c r="C181" t="s">
        <v>36</v>
      </c>
      <c r="D181" t="s">
        <v>23</v>
      </c>
      <c r="E181" t="s">
        <v>132</v>
      </c>
      <c r="F181" t="str">
        <f>_xlfn.XLOOKUP(E181,'KING TON SALES__ RAW DATA'!$A$2:$A$271,'KING TON SALES__ RAW DATA'!$B$2:$B$271)</f>
        <v>ORANGE MULTI</v>
      </c>
      <c r="G181" t="str">
        <f>_xlfn.XLOOKUP(E181,'KING TON SALES__ RAW DATA'!$A$2:$A$271,'KING TON SALES__ RAW DATA'!$D$2:$D$271)</f>
        <v>ELECTRICAL</v>
      </c>
      <c r="H181" s="6">
        <f>_xlfn.XLOOKUP(E181,'KING TON SALES__ RAW DATA'!$A$2:$A$271,'KING TON SALES__ RAW DATA'!$G$2:$G$271)</f>
        <v>700</v>
      </c>
      <c r="I181">
        <v>20</v>
      </c>
      <c r="J181" s="6">
        <f>_xlfn.XLOOKUP(E181,'KING TON SALES__ RAW DATA'!$A$2:$A$271,'KING TON SALES__ RAW DATA'!$I$2:$I$271)</f>
        <v>1000</v>
      </c>
      <c r="K181" s="6">
        <f t="shared" si="6"/>
        <v>14000</v>
      </c>
      <c r="L181" s="6">
        <f t="shared" si="7"/>
        <v>20000</v>
      </c>
      <c r="M181" s="6">
        <f t="shared" si="8"/>
        <v>6000</v>
      </c>
      <c r="N181" t="str">
        <f>_xlfn.XLOOKUP(E181,'KING TON SALES__ RAW DATA'!$A$2:$A$271,'KING TON SALES__ RAW DATA'!$M$2:$M$271)</f>
        <v>POS</v>
      </c>
    </row>
    <row r="182" spans="1:14">
      <c r="A182" s="7">
        <v>6843</v>
      </c>
      <c r="B182" s="8">
        <v>46254</v>
      </c>
      <c r="C182" t="s">
        <v>36</v>
      </c>
      <c r="D182" t="s">
        <v>23</v>
      </c>
      <c r="E182" t="s">
        <v>132</v>
      </c>
      <c r="F182" t="str">
        <f>_xlfn.XLOOKUP(E182,'KING TON SALES__ RAW DATA'!$A$2:$A$271,'KING TON SALES__ RAW DATA'!$B$2:$B$271)</f>
        <v>ORANGE MULTI</v>
      </c>
      <c r="G182" t="str">
        <f>_xlfn.XLOOKUP(E182,'KING TON SALES__ RAW DATA'!$A$2:$A$271,'KING TON SALES__ RAW DATA'!$D$2:$D$271)</f>
        <v>ELECTRICAL</v>
      </c>
      <c r="H182" s="6">
        <f>_xlfn.XLOOKUP(E182,'KING TON SALES__ RAW DATA'!$A$2:$A$271,'KING TON SALES__ RAW DATA'!$G$2:$G$271)</f>
        <v>700</v>
      </c>
      <c r="I182">
        <v>20</v>
      </c>
      <c r="J182" s="6">
        <f>_xlfn.XLOOKUP(E182,'KING TON SALES__ RAW DATA'!$A$2:$A$271,'KING TON SALES__ RAW DATA'!$I$2:$I$271)</f>
        <v>1000</v>
      </c>
      <c r="K182" s="6">
        <f t="shared" si="6"/>
        <v>14000</v>
      </c>
      <c r="L182" s="6">
        <f t="shared" si="7"/>
        <v>20000</v>
      </c>
      <c r="M182" s="6">
        <f t="shared" si="8"/>
        <v>6000</v>
      </c>
      <c r="N182" t="str">
        <f>_xlfn.XLOOKUP(E182,'KING TON SALES__ RAW DATA'!$A$2:$A$271,'KING TON SALES__ RAW DATA'!$M$2:$M$271)</f>
        <v>POS</v>
      </c>
    </row>
    <row r="183" spans="1:14">
      <c r="A183" s="7">
        <v>6844</v>
      </c>
      <c r="B183" s="8">
        <v>46226</v>
      </c>
      <c r="C183" t="s">
        <v>33</v>
      </c>
      <c r="D183" t="s">
        <v>23</v>
      </c>
      <c r="E183" t="s">
        <v>48</v>
      </c>
      <c r="F183" t="str">
        <f>_xlfn.XLOOKUP(E183,'KING TON SALES__ RAW DATA'!$A$2:$A$271,'KING TON SALES__ RAW DATA'!$B$2:$B$271)</f>
        <v>HDMI (3m) WIRE</v>
      </c>
      <c r="G183" t="str">
        <f>_xlfn.XLOOKUP(E183,'KING TON SALES__ RAW DATA'!$A$2:$A$271,'KING TON SALES__ RAW DATA'!$D$2:$D$271)</f>
        <v>WIRE</v>
      </c>
      <c r="H183" s="6">
        <f>_xlfn.XLOOKUP(E183,'KING TON SALES__ RAW DATA'!$A$2:$A$271,'KING TON SALES__ RAW DATA'!$G$2:$G$271)</f>
        <v>600</v>
      </c>
      <c r="I183">
        <v>24</v>
      </c>
      <c r="J183" s="6">
        <f>_xlfn.XLOOKUP(E183,'KING TON SALES__ RAW DATA'!$A$2:$A$271,'KING TON SALES__ RAW DATA'!$I$2:$I$271)</f>
        <v>1500</v>
      </c>
      <c r="K183" s="6">
        <f t="shared" si="6"/>
        <v>14400</v>
      </c>
      <c r="L183" s="6">
        <f t="shared" si="7"/>
        <v>36000</v>
      </c>
      <c r="M183" s="6">
        <f t="shared" si="8"/>
        <v>21600</v>
      </c>
      <c r="N183" t="str">
        <f>_xlfn.XLOOKUP(E183,'KING TON SALES__ RAW DATA'!$A$2:$A$271,'KING TON SALES__ RAW DATA'!$M$2:$M$271)</f>
        <v>CASH</v>
      </c>
    </row>
    <row r="184" spans="1:14">
      <c r="A184" s="7">
        <v>6845</v>
      </c>
      <c r="B184" s="8">
        <v>46215</v>
      </c>
      <c r="C184" t="s">
        <v>19</v>
      </c>
      <c r="D184" t="s">
        <v>18</v>
      </c>
      <c r="E184" t="s">
        <v>46</v>
      </c>
      <c r="F184" t="str">
        <f>_xlfn.XLOOKUP(E184,'KING TON SALES__ RAW DATA'!$A$2:$A$271,'KING TON SALES__ RAW DATA'!$B$2:$B$271)</f>
        <v>HDMI (1.5m) WIRE</v>
      </c>
      <c r="G184" t="str">
        <f>_xlfn.XLOOKUP(E184,'KING TON SALES__ RAW DATA'!$A$2:$A$271,'KING TON SALES__ RAW DATA'!$D$2:$D$271)</f>
        <v>WIRE</v>
      </c>
      <c r="H184" s="6">
        <f>_xlfn.XLOOKUP(E184,'KING TON SALES__ RAW DATA'!$A$2:$A$271,'KING TON SALES__ RAW DATA'!$G$2:$G$271)</f>
        <v>600</v>
      </c>
      <c r="I184">
        <v>21</v>
      </c>
      <c r="J184" s="6">
        <f>_xlfn.XLOOKUP(E184,'KING TON SALES__ RAW DATA'!$A$2:$A$271,'KING TON SALES__ RAW DATA'!$I$2:$I$271)</f>
        <v>1000</v>
      </c>
      <c r="K184" s="6">
        <f t="shared" si="6"/>
        <v>12600</v>
      </c>
      <c r="L184" s="6">
        <f t="shared" si="7"/>
        <v>21000</v>
      </c>
      <c r="M184" s="6">
        <f t="shared" si="8"/>
        <v>8400</v>
      </c>
      <c r="N184" t="str">
        <f>_xlfn.XLOOKUP(E184,'KING TON SALES__ RAW DATA'!$A$2:$A$271,'KING TON SALES__ RAW DATA'!$M$2:$M$271)</f>
        <v>CASH</v>
      </c>
    </row>
    <row r="185" spans="1:14">
      <c r="A185" s="7">
        <v>6846</v>
      </c>
      <c r="B185" s="8">
        <v>46233</v>
      </c>
      <c r="C185" t="s">
        <v>52</v>
      </c>
      <c r="D185" t="s">
        <v>18</v>
      </c>
      <c r="E185" t="s">
        <v>53</v>
      </c>
      <c r="F185" t="str">
        <f>_xlfn.XLOOKUP(E185,'KING TON SALES__ RAW DATA'!$A$2:$A$271,'KING TON SALES__ RAW DATA'!$B$2:$B$271)</f>
        <v>HDMI (10m) WIRE </v>
      </c>
      <c r="G185" t="str">
        <f>_xlfn.XLOOKUP(E185,'KING TON SALES__ RAW DATA'!$A$2:$A$271,'KING TON SALES__ RAW DATA'!$D$2:$D$271)</f>
        <v>WIRE</v>
      </c>
      <c r="H185" s="6">
        <f>_xlfn.XLOOKUP(E185,'KING TON SALES__ RAW DATA'!$A$2:$A$271,'KING TON SALES__ RAW DATA'!$G$2:$G$271)</f>
        <v>2500</v>
      </c>
      <c r="I185">
        <v>23</v>
      </c>
      <c r="J185" s="6">
        <f>_xlfn.XLOOKUP(E185,'KING TON SALES__ RAW DATA'!$A$2:$A$271,'KING TON SALES__ RAW DATA'!$I$2:$I$271)</f>
        <v>5000</v>
      </c>
      <c r="K185" s="6">
        <f t="shared" si="6"/>
        <v>57500</v>
      </c>
      <c r="L185" s="6">
        <f t="shared" si="7"/>
        <v>115000</v>
      </c>
      <c r="M185" s="6">
        <f t="shared" si="8"/>
        <v>57500</v>
      </c>
      <c r="N185" t="str">
        <f>_xlfn.XLOOKUP(E185,'KING TON SALES__ RAW DATA'!$A$2:$A$271,'KING TON SALES__ RAW DATA'!$M$2:$M$271)</f>
        <v>TRANSFER</v>
      </c>
    </row>
    <row r="186" spans="1:14">
      <c r="A186" s="7">
        <v>6847</v>
      </c>
      <c r="B186" s="8">
        <v>46216</v>
      </c>
      <c r="C186" t="s">
        <v>36</v>
      </c>
      <c r="D186" t="s">
        <v>23</v>
      </c>
      <c r="E186" t="s">
        <v>39</v>
      </c>
      <c r="F186" t="str">
        <f>_xlfn.XLOOKUP(E186,'KING TON SALES__ RAW DATA'!$A$2:$A$271,'KING TON SALES__ RAW DATA'!$B$2:$B$271)</f>
        <v>3 TO 3 AV (5m) WIRE</v>
      </c>
      <c r="G186" t="str">
        <f>_xlfn.XLOOKUP(E186,'KING TON SALES__ RAW DATA'!$A$2:$A$271,'KING TON SALES__ RAW DATA'!$D$2:$D$271)</f>
        <v>WIRE</v>
      </c>
      <c r="H186" s="6">
        <f>_xlfn.XLOOKUP(E186,'KING TON SALES__ RAW DATA'!$A$2:$A$271,'KING TON SALES__ RAW DATA'!$G$2:$G$271)</f>
        <v>1200</v>
      </c>
      <c r="I186">
        <v>23</v>
      </c>
      <c r="J186" s="6">
        <f>_xlfn.XLOOKUP(E186,'KING TON SALES__ RAW DATA'!$A$2:$A$271,'KING TON SALES__ RAW DATA'!$I$2:$I$271)</f>
        <v>2500</v>
      </c>
      <c r="K186" s="6">
        <f t="shared" si="6"/>
        <v>27600</v>
      </c>
      <c r="L186" s="6">
        <f t="shared" si="7"/>
        <v>57500</v>
      </c>
      <c r="M186" s="6">
        <f t="shared" si="8"/>
        <v>29900</v>
      </c>
      <c r="N186" t="str">
        <f>_xlfn.XLOOKUP(E186,'KING TON SALES__ RAW DATA'!$A$2:$A$271,'KING TON SALES__ RAW DATA'!$M$2:$M$271)</f>
        <v>POS</v>
      </c>
    </row>
    <row r="187" spans="1:14">
      <c r="A187" s="7">
        <v>6848</v>
      </c>
      <c r="B187" s="8">
        <v>46253</v>
      </c>
      <c r="C187" t="s">
        <v>19</v>
      </c>
      <c r="D187" t="s">
        <v>18</v>
      </c>
      <c r="E187" t="s">
        <v>156</v>
      </c>
      <c r="F187" t="str">
        <f>_xlfn.XLOOKUP(E187,'KING TON SALES__ RAW DATA'!$A$2:$A$271,'KING TON SALES__ RAW DATA'!$B$2:$B$271)</f>
        <v>POWER PEAK 9v BATTERY</v>
      </c>
      <c r="G187" t="str">
        <f>_xlfn.XLOOKUP(E187,'KING TON SALES__ RAW DATA'!$A$2:$A$271,'KING TON SALES__ RAW DATA'!$D$2:$D$271)</f>
        <v>BATTERY</v>
      </c>
      <c r="H187" s="6">
        <f>_xlfn.XLOOKUP(E187,'KING TON SALES__ RAW DATA'!$A$2:$A$271,'KING TON SALES__ RAW DATA'!$G$2:$G$271)</f>
        <v>250</v>
      </c>
      <c r="I187">
        <v>22</v>
      </c>
      <c r="J187" s="6">
        <f>_xlfn.XLOOKUP(E187,'KING TON SALES__ RAW DATA'!$A$2:$A$271,'KING TON SALES__ RAW DATA'!$I$2:$I$271)</f>
        <v>500</v>
      </c>
      <c r="K187" s="6">
        <f t="shared" si="6"/>
        <v>5500</v>
      </c>
      <c r="L187" s="6">
        <f t="shared" si="7"/>
        <v>11000</v>
      </c>
      <c r="M187" s="6">
        <f t="shared" si="8"/>
        <v>5500</v>
      </c>
      <c r="N187" t="str">
        <f>_xlfn.XLOOKUP(E187,'KING TON SALES__ RAW DATA'!$A$2:$A$271,'KING TON SALES__ RAW DATA'!$M$2:$M$271)</f>
        <v>CASH</v>
      </c>
    </row>
    <row r="188" spans="1:14">
      <c r="A188" s="7">
        <v>6849</v>
      </c>
      <c r="B188" s="8">
        <v>46215</v>
      </c>
      <c r="C188" t="s">
        <v>19</v>
      </c>
      <c r="D188" t="s">
        <v>23</v>
      </c>
      <c r="E188" t="s">
        <v>61</v>
      </c>
      <c r="F188" t="str">
        <f>_xlfn.XLOOKUP(E188,'KING TON SALES__ RAW DATA'!$A$2:$A$271,'KING TON SALES__ RAW DATA'!$B$2:$B$271)</f>
        <v>HDMI (50m) WIRE</v>
      </c>
      <c r="G188" t="str">
        <f>_xlfn.XLOOKUP(E188,'KING TON SALES__ RAW DATA'!$A$2:$A$271,'KING TON SALES__ RAW DATA'!$D$2:$D$271)</f>
        <v>WIRE</v>
      </c>
      <c r="H188" s="6">
        <f>_xlfn.XLOOKUP(E188,'KING TON SALES__ RAW DATA'!$A$2:$A$271,'KING TON SALES__ RAW DATA'!$G$2:$G$271)</f>
        <v>15000</v>
      </c>
      <c r="I188">
        <v>21</v>
      </c>
      <c r="J188" s="6">
        <f>_xlfn.XLOOKUP(E188,'KING TON SALES__ RAW DATA'!$A$2:$A$271,'KING TON SALES__ RAW DATA'!$I$2:$I$271)</f>
        <v>20000</v>
      </c>
      <c r="K188" s="6">
        <f t="shared" si="6"/>
        <v>315000</v>
      </c>
      <c r="L188" s="6">
        <f t="shared" si="7"/>
        <v>420000</v>
      </c>
      <c r="M188" s="6">
        <f t="shared" si="8"/>
        <v>105000</v>
      </c>
      <c r="N188" t="str">
        <f>_xlfn.XLOOKUP(E188,'KING TON SALES__ RAW DATA'!$A$2:$A$271,'KING TON SALES__ RAW DATA'!$M$2:$M$271)</f>
        <v>TRANSFER</v>
      </c>
    </row>
    <row r="189" spans="1:14">
      <c r="A189" s="7">
        <v>6850</v>
      </c>
      <c r="B189" s="8">
        <v>46255</v>
      </c>
      <c r="C189" t="s">
        <v>19</v>
      </c>
      <c r="D189" t="s">
        <v>23</v>
      </c>
      <c r="E189" t="s">
        <v>120</v>
      </c>
      <c r="F189" t="str">
        <f>_xlfn.XLOOKUP(E189,'KING TON SALES__ RAW DATA'!$A$2:$A$271,'KING TON SALES__ RAW DATA'!$B$2:$B$271)</f>
        <v>13 AMPS DOUBLE SOCKET BENJOR</v>
      </c>
      <c r="G189" t="str">
        <f>_xlfn.XLOOKUP(E189,'KING TON SALES__ RAW DATA'!$A$2:$A$271,'KING TON SALES__ RAW DATA'!$D$2:$D$271)</f>
        <v>ELECTRICAL</v>
      </c>
      <c r="H189" s="6">
        <f>_xlfn.XLOOKUP(E189,'KING TON SALES__ RAW DATA'!$A$2:$A$271,'KING TON SALES__ RAW DATA'!$G$2:$G$271)</f>
        <v>2500</v>
      </c>
      <c r="I189">
        <v>22</v>
      </c>
      <c r="J189" s="6">
        <f>_xlfn.XLOOKUP(E189,'KING TON SALES__ RAW DATA'!$A$2:$A$271,'KING TON SALES__ RAW DATA'!$I$2:$I$271)</f>
        <v>5000</v>
      </c>
      <c r="K189" s="6">
        <f t="shared" si="6"/>
        <v>55000</v>
      </c>
      <c r="L189" s="6">
        <f t="shared" si="7"/>
        <v>110000</v>
      </c>
      <c r="M189" s="6">
        <f t="shared" si="8"/>
        <v>55000</v>
      </c>
      <c r="N189" t="str">
        <f>_xlfn.XLOOKUP(E189,'KING TON SALES__ RAW DATA'!$A$2:$A$271,'KING TON SALES__ RAW DATA'!$M$2:$M$271)</f>
        <v>POS</v>
      </c>
    </row>
    <row r="190" spans="1:14">
      <c r="A190" s="7">
        <v>6851</v>
      </c>
      <c r="B190" s="8">
        <v>46208</v>
      </c>
      <c r="C190" t="s">
        <v>19</v>
      </c>
      <c r="D190" t="s">
        <v>23</v>
      </c>
      <c r="E190" t="s">
        <v>59</v>
      </c>
      <c r="F190" t="str">
        <f>_xlfn.XLOOKUP(E190,'KING TON SALES__ RAW DATA'!$A$2:$A$271,'KING TON SALES__ RAW DATA'!$B$2:$B$271)</f>
        <v>HDMI (30m) WIRE</v>
      </c>
      <c r="G190" t="str">
        <f>_xlfn.XLOOKUP(E190,'KING TON SALES__ RAW DATA'!$A$2:$A$271,'KING TON SALES__ RAW DATA'!$D$2:$D$271)</f>
        <v>WIRE</v>
      </c>
      <c r="H190" s="6">
        <f>_xlfn.XLOOKUP(E190,'KING TON SALES__ RAW DATA'!$A$2:$A$271,'KING TON SALES__ RAW DATA'!$G$2:$G$271)</f>
        <v>10000</v>
      </c>
      <c r="I190">
        <v>17</v>
      </c>
      <c r="J190" s="6">
        <f>_xlfn.XLOOKUP(E190,'KING TON SALES__ RAW DATA'!$A$2:$A$271,'KING TON SALES__ RAW DATA'!$I$2:$I$271)</f>
        <v>15000</v>
      </c>
      <c r="K190" s="6">
        <f t="shared" si="6"/>
        <v>170000</v>
      </c>
      <c r="L190" s="6">
        <f t="shared" si="7"/>
        <v>255000</v>
      </c>
      <c r="M190" s="6">
        <f t="shared" si="8"/>
        <v>85000</v>
      </c>
      <c r="N190" t="str">
        <f>_xlfn.XLOOKUP(E190,'KING TON SALES__ RAW DATA'!$A$2:$A$271,'KING TON SALES__ RAW DATA'!$M$2:$M$271)</f>
        <v>TRANSFER</v>
      </c>
    </row>
    <row r="191" spans="1:14">
      <c r="A191" s="7">
        <v>6852</v>
      </c>
      <c r="B191" s="8">
        <v>46238</v>
      </c>
      <c r="C191" t="s">
        <v>43</v>
      </c>
      <c r="D191" t="s">
        <v>23</v>
      </c>
      <c r="E191" t="s">
        <v>105</v>
      </c>
      <c r="F191" t="str">
        <f>_xlfn.XLOOKUP(E191,'KING TON SALES__ RAW DATA'!$A$2:$A$271,'KING TON SALES__ RAW DATA'!$B$2:$B$271)</f>
        <v>USB TO PRINTER CABLE (1.5m)</v>
      </c>
      <c r="G191" t="str">
        <f>_xlfn.XLOOKUP(E191,'KING TON SALES__ RAW DATA'!$A$2:$A$271,'KING TON SALES__ RAW DATA'!$D$2:$D$271)</f>
        <v>WIRE</v>
      </c>
      <c r="H191" s="6">
        <f>_xlfn.XLOOKUP(E191,'KING TON SALES__ RAW DATA'!$A$2:$A$271,'KING TON SALES__ RAW DATA'!$G$2:$G$271)</f>
        <v>2500</v>
      </c>
      <c r="I191">
        <v>24</v>
      </c>
      <c r="J191" s="6">
        <f>_xlfn.XLOOKUP(E191,'KING TON SALES__ RAW DATA'!$A$2:$A$271,'KING TON SALES__ RAW DATA'!$I$2:$I$271)</f>
        <v>5000</v>
      </c>
      <c r="K191" s="6">
        <f t="shared" si="6"/>
        <v>60000</v>
      </c>
      <c r="L191" s="6">
        <f t="shared" si="7"/>
        <v>120000</v>
      </c>
      <c r="M191" s="6">
        <f t="shared" si="8"/>
        <v>60000</v>
      </c>
      <c r="N191" t="str">
        <f>_xlfn.XLOOKUP(E191,'KING TON SALES__ RAW DATA'!$A$2:$A$271,'KING TON SALES__ RAW DATA'!$M$2:$M$271)</f>
        <v>TRANSFER</v>
      </c>
    </row>
    <row r="192" spans="1:14">
      <c r="A192" s="7">
        <v>6853</v>
      </c>
      <c r="B192" s="8">
        <v>46239</v>
      </c>
      <c r="C192" t="s">
        <v>43</v>
      </c>
      <c r="D192" t="s">
        <v>18</v>
      </c>
      <c r="E192" t="s">
        <v>103</v>
      </c>
      <c r="F192" t="str">
        <f>_xlfn.XLOOKUP(E192,'KING TON SALES__ RAW DATA'!$A$2:$A$271,'KING TON SALES__ RAW DATA'!$B$2:$B$271)</f>
        <v>USB TO FEMALE USB (1.5m) CORD</v>
      </c>
      <c r="G192" t="str">
        <f>_xlfn.XLOOKUP(E192,'KING TON SALES__ RAW DATA'!$A$2:$A$271,'KING TON SALES__ RAW DATA'!$D$2:$D$271)</f>
        <v>WIRE</v>
      </c>
      <c r="H192" s="6">
        <f>_xlfn.XLOOKUP(E192,'KING TON SALES__ RAW DATA'!$A$2:$A$271,'KING TON SALES__ RAW DATA'!$G$2:$G$271)</f>
        <v>2500</v>
      </c>
      <c r="I192">
        <v>22</v>
      </c>
      <c r="J192" s="6">
        <f>_xlfn.XLOOKUP(E192,'KING TON SALES__ RAW DATA'!$A$2:$A$271,'KING TON SALES__ RAW DATA'!$I$2:$I$271)</f>
        <v>5000</v>
      </c>
      <c r="K192" s="6">
        <f t="shared" si="6"/>
        <v>55000</v>
      </c>
      <c r="L192" s="6">
        <f t="shared" si="7"/>
        <v>110000</v>
      </c>
      <c r="M192" s="6">
        <f t="shared" si="8"/>
        <v>55000</v>
      </c>
      <c r="N192" t="str">
        <f>_xlfn.XLOOKUP(E192,'KING TON SALES__ RAW DATA'!$A$2:$A$271,'KING TON SALES__ RAW DATA'!$M$2:$M$271)</f>
        <v>TRANSFER</v>
      </c>
    </row>
    <row r="193" spans="1:14">
      <c r="A193" s="7">
        <v>6854</v>
      </c>
      <c r="B193" s="8">
        <v>46218</v>
      </c>
      <c r="C193" t="s">
        <v>19</v>
      </c>
      <c r="D193" t="s">
        <v>18</v>
      </c>
      <c r="E193" t="s">
        <v>138</v>
      </c>
      <c r="F193" t="str">
        <f>_xlfn.XLOOKUP(E193,'KING TON SALES__ RAW DATA'!$A$2:$A$271,'KING TON SALES__ RAW DATA'!$B$2:$B$271)</f>
        <v>MULTI (APC) EXTENTION 6 MOUTH</v>
      </c>
      <c r="G193" t="str">
        <f>_xlfn.XLOOKUP(E193,'KING TON SALES__ RAW DATA'!$A$2:$A$271,'KING TON SALES__ RAW DATA'!$D$2:$D$271)</f>
        <v>ELECTRICAL</v>
      </c>
      <c r="H193" s="6">
        <f>_xlfn.XLOOKUP(E193,'KING TON SALES__ RAW DATA'!$A$2:$A$271,'KING TON SALES__ RAW DATA'!$G$2:$G$271)</f>
        <v>7000</v>
      </c>
      <c r="I193">
        <v>23</v>
      </c>
      <c r="J193" s="6">
        <f>_xlfn.XLOOKUP(E193,'KING TON SALES__ RAW DATA'!$A$2:$A$271,'KING TON SALES__ RAW DATA'!$I$2:$I$271)</f>
        <v>12000</v>
      </c>
      <c r="K193" s="6">
        <f t="shared" si="6"/>
        <v>161000</v>
      </c>
      <c r="L193" s="6">
        <f t="shared" si="7"/>
        <v>276000</v>
      </c>
      <c r="M193" s="6">
        <f t="shared" si="8"/>
        <v>115000</v>
      </c>
      <c r="N193" t="str">
        <f>_xlfn.XLOOKUP(E193,'KING TON SALES__ RAW DATA'!$A$2:$A$271,'KING TON SALES__ RAW DATA'!$M$2:$M$271)</f>
        <v>CASH</v>
      </c>
    </row>
    <row r="194" spans="1:14">
      <c r="A194" s="7">
        <v>6855</v>
      </c>
      <c r="B194" s="8">
        <v>46223</v>
      </c>
      <c r="C194" t="s">
        <v>19</v>
      </c>
      <c r="D194" t="s">
        <v>23</v>
      </c>
      <c r="E194" t="s">
        <v>99</v>
      </c>
      <c r="F194" t="str">
        <f>_xlfn.XLOOKUP(E194,'KING TON SALES__ RAW DATA'!$A$2:$A$271,'KING TON SALES__ RAW DATA'!$B$2:$B$271)</f>
        <v>CAT 4 WIRE</v>
      </c>
      <c r="G194" t="str">
        <f>_xlfn.XLOOKUP(E194,'KING TON SALES__ RAW DATA'!$A$2:$A$271,'KING TON SALES__ RAW DATA'!$D$2:$D$271)</f>
        <v>WIRE</v>
      </c>
      <c r="H194" s="6">
        <f>_xlfn.XLOOKUP(E194,'KING TON SALES__ RAW DATA'!$A$2:$A$271,'KING TON SALES__ RAW DATA'!$G$2:$G$271)</f>
        <v>12000</v>
      </c>
      <c r="I194">
        <v>19</v>
      </c>
      <c r="J194" s="6">
        <f>_xlfn.XLOOKUP(E194,'KING TON SALES__ RAW DATA'!$A$2:$A$271,'KING TON SALES__ RAW DATA'!$I$2:$I$271)</f>
        <v>20000</v>
      </c>
      <c r="K194" s="6">
        <f t="shared" si="6"/>
        <v>228000</v>
      </c>
      <c r="L194" s="6">
        <f t="shared" si="7"/>
        <v>380000</v>
      </c>
      <c r="M194" s="6">
        <f t="shared" si="8"/>
        <v>152000</v>
      </c>
      <c r="N194" t="str">
        <f>_xlfn.XLOOKUP(E194,'KING TON SALES__ RAW DATA'!$A$2:$A$271,'KING TON SALES__ RAW DATA'!$M$2:$M$271)</f>
        <v>TRANSFER</v>
      </c>
    </row>
    <row r="195" spans="1:14">
      <c r="A195" s="7">
        <v>6856</v>
      </c>
      <c r="B195" s="8">
        <v>46244</v>
      </c>
      <c r="C195" t="s">
        <v>19</v>
      </c>
      <c r="D195" t="s">
        <v>18</v>
      </c>
      <c r="E195" t="s">
        <v>77</v>
      </c>
      <c r="F195" t="str">
        <f>_xlfn.XLOOKUP(E195,'KING TON SALES__ RAW DATA'!$A$2:$A$271,'KING TON SALES__ RAW DATA'!$B$2:$B$271)</f>
        <v>BLUE 4K HDMI (5m) WIRE</v>
      </c>
      <c r="G195" t="str">
        <f>_xlfn.XLOOKUP(E195,'KING TON SALES__ RAW DATA'!$A$2:$A$271,'KING TON SALES__ RAW DATA'!$D$2:$D$271)</f>
        <v>WIRE</v>
      </c>
      <c r="H195" s="6">
        <f>_xlfn.XLOOKUP(E195,'KING TON SALES__ RAW DATA'!$A$2:$A$271,'KING TON SALES__ RAW DATA'!$G$2:$G$271)</f>
        <v>3500</v>
      </c>
      <c r="I195">
        <v>18</v>
      </c>
      <c r="J195" s="6">
        <f>_xlfn.XLOOKUP(E195,'KING TON SALES__ RAW DATA'!$A$2:$A$271,'KING TON SALES__ RAW DATA'!$I$2:$I$271)</f>
        <v>8000</v>
      </c>
      <c r="K195" s="6">
        <f t="shared" ref="K195:K258" si="9">H195*I195</f>
        <v>63000</v>
      </c>
      <c r="L195" s="6">
        <f t="shared" ref="L195:L258" si="10">J195*I195</f>
        <v>144000</v>
      </c>
      <c r="M195" s="6">
        <f t="shared" ref="M195:M258" si="11">L195-K195</f>
        <v>81000</v>
      </c>
      <c r="N195" t="str">
        <f>_xlfn.XLOOKUP(E195,'KING TON SALES__ RAW DATA'!$A$2:$A$271,'KING TON SALES__ RAW DATA'!$M$2:$M$271)</f>
        <v>TRANSFER</v>
      </c>
    </row>
    <row r="196" spans="1:14">
      <c r="A196" s="7">
        <v>6857</v>
      </c>
      <c r="B196" s="8">
        <v>46262</v>
      </c>
      <c r="C196" t="s">
        <v>43</v>
      </c>
      <c r="D196" t="s">
        <v>18</v>
      </c>
      <c r="E196" t="s">
        <v>73</v>
      </c>
      <c r="F196" t="str">
        <f>_xlfn.XLOOKUP(E196,'KING TON SALES__ RAW DATA'!$A$2:$A$271,'KING TON SALES__ RAW DATA'!$B$2:$B$271)</f>
        <v>BLUE 4K HDMI (1.5m) WIRE</v>
      </c>
      <c r="G196" t="str">
        <f>_xlfn.XLOOKUP(E196,'KING TON SALES__ RAW DATA'!$A$2:$A$271,'KING TON SALES__ RAW DATA'!$D$2:$D$271)</f>
        <v>WIRE</v>
      </c>
      <c r="H196" s="6">
        <f>_xlfn.XLOOKUP(E196,'KING TON SALES__ RAW DATA'!$A$2:$A$271,'KING TON SALES__ RAW DATA'!$G$2:$G$271)</f>
        <v>1500</v>
      </c>
      <c r="I196">
        <v>21</v>
      </c>
      <c r="J196" s="6">
        <f>_xlfn.XLOOKUP(E196,'KING TON SALES__ RAW DATA'!$A$2:$A$271,'KING TON SALES__ RAW DATA'!$I$2:$I$271)</f>
        <v>3000</v>
      </c>
      <c r="K196" s="6">
        <f t="shared" si="9"/>
        <v>31500</v>
      </c>
      <c r="L196" s="6">
        <f t="shared" si="10"/>
        <v>63000</v>
      </c>
      <c r="M196" s="6">
        <f t="shared" si="11"/>
        <v>31500</v>
      </c>
      <c r="N196" t="str">
        <f>_xlfn.XLOOKUP(E196,'KING TON SALES__ RAW DATA'!$A$2:$A$271,'KING TON SALES__ RAW DATA'!$M$2:$M$271)</f>
        <v>CASH</v>
      </c>
    </row>
    <row r="197" spans="1:14">
      <c r="A197" s="7">
        <v>6858</v>
      </c>
      <c r="B197" s="8">
        <v>46240</v>
      </c>
      <c r="C197" t="s">
        <v>33</v>
      </c>
      <c r="D197" t="s">
        <v>23</v>
      </c>
      <c r="E197" t="s">
        <v>95</v>
      </c>
      <c r="F197" t="str">
        <f>_xlfn.XLOOKUP(E197,'KING TON SALES__ RAW DATA'!$A$2:$A$271,'KING TON SALES__ RAW DATA'!$B$2:$B$271)</f>
        <v>ORIGINAL SPEAKER WIRE</v>
      </c>
      <c r="G197" t="str">
        <f>_xlfn.XLOOKUP(E197,'KING TON SALES__ RAW DATA'!$A$2:$A$271,'KING TON SALES__ RAW DATA'!$D$2:$D$271)</f>
        <v>WIRE</v>
      </c>
      <c r="H197" s="6">
        <f>_xlfn.XLOOKUP(E197,'KING TON SALES__ RAW DATA'!$A$2:$A$271,'KING TON SALES__ RAW DATA'!$G$2:$G$271)</f>
        <v>150000</v>
      </c>
      <c r="I197">
        <v>20</v>
      </c>
      <c r="J197" s="6">
        <f>_xlfn.XLOOKUP(E197,'KING TON SALES__ RAW DATA'!$A$2:$A$271,'KING TON SALES__ RAW DATA'!$I$2:$I$271)</f>
        <v>240000</v>
      </c>
      <c r="K197" s="6">
        <f t="shared" si="9"/>
        <v>3000000</v>
      </c>
      <c r="L197" s="6">
        <f t="shared" si="10"/>
        <v>4800000</v>
      </c>
      <c r="M197" s="6">
        <f t="shared" si="11"/>
        <v>1800000</v>
      </c>
      <c r="N197" t="str">
        <f>_xlfn.XLOOKUP(E197,'KING TON SALES__ RAW DATA'!$A$2:$A$271,'KING TON SALES__ RAW DATA'!$M$2:$M$271)</f>
        <v>CASH</v>
      </c>
    </row>
    <row r="198" spans="1:14">
      <c r="A198" s="7">
        <v>6859</v>
      </c>
      <c r="B198" s="8">
        <v>46215</v>
      </c>
      <c r="C198" t="s">
        <v>19</v>
      </c>
      <c r="D198" t="s">
        <v>23</v>
      </c>
      <c r="E198" t="s">
        <v>122</v>
      </c>
      <c r="F198" t="str">
        <f>_xlfn.XLOOKUP(E198,'KING TON SALES__ RAW DATA'!$A$2:$A$271,'KING TON SALES__ RAW DATA'!$B$2:$B$271)</f>
        <v>13 AMPS SINGLE SOCKET NEW</v>
      </c>
      <c r="G198" t="str">
        <f>_xlfn.XLOOKUP(E198,'KING TON SALES__ RAW DATA'!$A$2:$A$271,'KING TON SALES__ RAW DATA'!$D$2:$D$271)</f>
        <v>ELECTRICAL</v>
      </c>
      <c r="H198" s="6">
        <f>_xlfn.XLOOKUP(E198,'KING TON SALES__ RAW DATA'!$A$2:$A$271,'KING TON SALES__ RAW DATA'!$G$2:$G$271)</f>
        <v>500</v>
      </c>
      <c r="I198">
        <v>17</v>
      </c>
      <c r="J198" s="6">
        <f>_xlfn.XLOOKUP(E198,'KING TON SALES__ RAW DATA'!$A$2:$A$271,'KING TON SALES__ RAW DATA'!$I$2:$I$271)</f>
        <v>1000</v>
      </c>
      <c r="K198" s="6">
        <f t="shared" si="9"/>
        <v>8500</v>
      </c>
      <c r="L198" s="6">
        <f t="shared" si="10"/>
        <v>17000</v>
      </c>
      <c r="M198" s="6">
        <f t="shared" si="11"/>
        <v>8500</v>
      </c>
      <c r="N198" t="str">
        <f>_xlfn.XLOOKUP(E198,'KING TON SALES__ RAW DATA'!$A$2:$A$271,'KING TON SALES__ RAW DATA'!$M$2:$M$271)</f>
        <v>TRANSFER</v>
      </c>
    </row>
    <row r="199" spans="1:14">
      <c r="A199" s="7">
        <v>6860</v>
      </c>
      <c r="B199" s="8">
        <v>46246</v>
      </c>
      <c r="C199" t="s">
        <v>52</v>
      </c>
      <c r="D199" t="s">
        <v>23</v>
      </c>
      <c r="E199" t="s">
        <v>81</v>
      </c>
      <c r="F199" t="str">
        <f>_xlfn.XLOOKUP(E199,'KING TON SALES__ RAW DATA'!$A$2:$A$271,'KING TON SALES__ RAW DATA'!$B$2:$B$271)</f>
        <v>BLUE 4K HDMI (15m) WIRE</v>
      </c>
      <c r="G199" t="str">
        <f>_xlfn.XLOOKUP(E199,'KING TON SALES__ RAW DATA'!$A$2:$A$271,'KING TON SALES__ RAW DATA'!$D$2:$D$271)</f>
        <v>WIRE</v>
      </c>
      <c r="H199" s="6">
        <f>_xlfn.XLOOKUP(E199,'KING TON SALES__ RAW DATA'!$A$2:$A$271,'KING TON SALES__ RAW DATA'!$G$2:$G$271)</f>
        <v>7000</v>
      </c>
      <c r="I199">
        <v>19</v>
      </c>
      <c r="J199" s="6">
        <f>_xlfn.XLOOKUP(E199,'KING TON SALES__ RAW DATA'!$A$2:$A$271,'KING TON SALES__ RAW DATA'!$I$2:$I$271)</f>
        <v>15000</v>
      </c>
      <c r="K199" s="6">
        <f t="shared" si="9"/>
        <v>133000</v>
      </c>
      <c r="L199" s="6">
        <f t="shared" si="10"/>
        <v>285000</v>
      </c>
      <c r="M199" s="6">
        <f t="shared" si="11"/>
        <v>152000</v>
      </c>
      <c r="N199" t="str">
        <f>_xlfn.XLOOKUP(E199,'KING TON SALES__ RAW DATA'!$A$2:$A$271,'KING TON SALES__ RAW DATA'!$M$2:$M$271)</f>
        <v>POS</v>
      </c>
    </row>
    <row r="200" spans="1:14">
      <c r="A200" s="7">
        <v>6861</v>
      </c>
      <c r="B200" s="8">
        <v>46218</v>
      </c>
      <c r="C200" t="s">
        <v>52</v>
      </c>
      <c r="D200" t="s">
        <v>18</v>
      </c>
      <c r="E200" t="s">
        <v>53</v>
      </c>
      <c r="F200" t="str">
        <f>_xlfn.XLOOKUP(E200,'KING TON SALES__ RAW DATA'!$A$2:$A$271,'KING TON SALES__ RAW DATA'!$B$2:$B$271)</f>
        <v>HDMI (10m) WIRE </v>
      </c>
      <c r="G200" t="str">
        <f>_xlfn.XLOOKUP(E200,'KING TON SALES__ RAW DATA'!$A$2:$A$271,'KING TON SALES__ RAW DATA'!$D$2:$D$271)</f>
        <v>WIRE</v>
      </c>
      <c r="H200" s="6">
        <f>_xlfn.XLOOKUP(E200,'KING TON SALES__ RAW DATA'!$A$2:$A$271,'KING TON SALES__ RAW DATA'!$G$2:$G$271)</f>
        <v>2500</v>
      </c>
      <c r="I200">
        <v>22</v>
      </c>
      <c r="J200" s="6">
        <f>_xlfn.XLOOKUP(E200,'KING TON SALES__ RAW DATA'!$A$2:$A$271,'KING TON SALES__ RAW DATA'!$I$2:$I$271)</f>
        <v>5000</v>
      </c>
      <c r="K200" s="6">
        <f t="shared" si="9"/>
        <v>55000</v>
      </c>
      <c r="L200" s="6">
        <f t="shared" si="10"/>
        <v>110000</v>
      </c>
      <c r="M200" s="6">
        <f t="shared" si="11"/>
        <v>55000</v>
      </c>
      <c r="N200" t="str">
        <f>_xlfn.XLOOKUP(E200,'KING TON SALES__ RAW DATA'!$A$2:$A$271,'KING TON SALES__ RAW DATA'!$M$2:$M$271)</f>
        <v>TRANSFER</v>
      </c>
    </row>
    <row r="201" spans="1:14">
      <c r="A201" s="7">
        <v>6862</v>
      </c>
      <c r="B201" s="8">
        <v>46256</v>
      </c>
      <c r="C201" t="s">
        <v>19</v>
      </c>
      <c r="D201" t="s">
        <v>23</v>
      </c>
      <c r="E201" t="s">
        <v>21</v>
      </c>
      <c r="F201" t="str">
        <f>_xlfn.XLOOKUP(E201,'KING TON SALES__ RAW DATA'!$A$2:$A$271,'KING TON SALES__ RAW DATA'!$B$2:$B$271)</f>
        <v>2 TO 2 AV (1.5m) WIRE</v>
      </c>
      <c r="G201" t="str">
        <f>_xlfn.XLOOKUP(E201,'KING TON SALES__ RAW DATA'!$A$2:$A$271,'KING TON SALES__ RAW DATA'!$D$2:$D$271)</f>
        <v>WIRE</v>
      </c>
      <c r="H201" s="6">
        <f>_xlfn.XLOOKUP(E201,'KING TON SALES__ RAW DATA'!$A$2:$A$271,'KING TON SALES__ RAW DATA'!$G$2:$G$271)</f>
        <v>500</v>
      </c>
      <c r="I201">
        <v>17</v>
      </c>
      <c r="J201" s="6">
        <f>_xlfn.XLOOKUP(E201,'KING TON SALES__ RAW DATA'!$A$2:$A$271,'KING TON SALES__ RAW DATA'!$I$2:$I$271)</f>
        <v>1000</v>
      </c>
      <c r="K201" s="6">
        <f t="shared" si="9"/>
        <v>8500</v>
      </c>
      <c r="L201" s="6">
        <f t="shared" si="10"/>
        <v>17000</v>
      </c>
      <c r="M201" s="6">
        <f t="shared" si="11"/>
        <v>8500</v>
      </c>
      <c r="N201" t="str">
        <f>_xlfn.XLOOKUP(E201,'KING TON SALES__ RAW DATA'!$A$2:$A$271,'KING TON SALES__ RAW DATA'!$M$2:$M$271)</f>
        <v>CASH</v>
      </c>
    </row>
    <row r="202" spans="1:14">
      <c r="A202" s="7">
        <v>6863</v>
      </c>
      <c r="B202" s="8">
        <v>46246</v>
      </c>
      <c r="C202" t="s">
        <v>19</v>
      </c>
      <c r="D202" t="s">
        <v>18</v>
      </c>
      <c r="E202" t="s">
        <v>77</v>
      </c>
      <c r="F202" t="str">
        <f>_xlfn.XLOOKUP(E202,'KING TON SALES__ RAW DATA'!$A$2:$A$271,'KING TON SALES__ RAW DATA'!$B$2:$B$271)</f>
        <v>BLUE 4K HDMI (5m) WIRE</v>
      </c>
      <c r="G202" t="str">
        <f>_xlfn.XLOOKUP(E202,'KING TON SALES__ RAW DATA'!$A$2:$A$271,'KING TON SALES__ RAW DATA'!$D$2:$D$271)</f>
        <v>WIRE</v>
      </c>
      <c r="H202" s="6">
        <f>_xlfn.XLOOKUP(E202,'KING TON SALES__ RAW DATA'!$A$2:$A$271,'KING TON SALES__ RAW DATA'!$G$2:$G$271)</f>
        <v>3500</v>
      </c>
      <c r="I202">
        <v>22</v>
      </c>
      <c r="J202" s="6">
        <f>_xlfn.XLOOKUP(E202,'KING TON SALES__ RAW DATA'!$A$2:$A$271,'KING TON SALES__ RAW DATA'!$I$2:$I$271)</f>
        <v>8000</v>
      </c>
      <c r="K202" s="6">
        <f t="shared" si="9"/>
        <v>77000</v>
      </c>
      <c r="L202" s="6">
        <f t="shared" si="10"/>
        <v>176000</v>
      </c>
      <c r="M202" s="6">
        <f t="shared" si="11"/>
        <v>99000</v>
      </c>
      <c r="N202" t="str">
        <f>_xlfn.XLOOKUP(E202,'KING TON SALES__ RAW DATA'!$A$2:$A$271,'KING TON SALES__ RAW DATA'!$M$2:$M$271)</f>
        <v>TRANSFER</v>
      </c>
    </row>
    <row r="203" spans="1:14">
      <c r="A203" s="7">
        <v>6864</v>
      </c>
      <c r="B203" s="8">
        <v>46204</v>
      </c>
      <c r="C203" t="s">
        <v>19</v>
      </c>
      <c r="D203" t="s">
        <v>18</v>
      </c>
      <c r="E203" t="s">
        <v>28</v>
      </c>
      <c r="F203" t="str">
        <f>_xlfn.XLOOKUP(E203,'KING TON SALES__ RAW DATA'!$A$2:$A$271,'KING TON SALES__ RAW DATA'!$B$2:$B$271)</f>
        <v>1 TO 1 AUX (1.5m) WIRE</v>
      </c>
      <c r="G203" t="str">
        <f>_xlfn.XLOOKUP(E203,'KING TON SALES__ RAW DATA'!$A$2:$A$271,'KING TON SALES__ RAW DATA'!$D$2:$D$271)</f>
        <v>WIRE</v>
      </c>
      <c r="H203" s="6">
        <f>_xlfn.XLOOKUP(E203,'KING TON SALES__ RAW DATA'!$A$2:$A$271,'KING TON SALES__ RAW DATA'!$G$2:$G$271)</f>
        <v>500</v>
      </c>
      <c r="I203">
        <v>23</v>
      </c>
      <c r="J203" s="6">
        <f>_xlfn.XLOOKUP(E203,'KING TON SALES__ RAW DATA'!$A$2:$A$271,'KING TON SALES__ RAW DATA'!$I$2:$I$271)</f>
        <v>1000</v>
      </c>
      <c r="K203" s="6">
        <f t="shared" si="9"/>
        <v>11500</v>
      </c>
      <c r="L203" s="6">
        <f t="shared" si="10"/>
        <v>23000</v>
      </c>
      <c r="M203" s="6">
        <f t="shared" si="11"/>
        <v>11500</v>
      </c>
      <c r="N203" t="str">
        <f>_xlfn.XLOOKUP(E203,'KING TON SALES__ RAW DATA'!$A$2:$A$271,'KING TON SALES__ RAW DATA'!$M$2:$M$271)</f>
        <v>TRANSFER</v>
      </c>
    </row>
    <row r="204" spans="1:14">
      <c r="A204" s="7">
        <v>6865</v>
      </c>
      <c r="B204" s="8">
        <v>46251</v>
      </c>
      <c r="C204" t="s">
        <v>52</v>
      </c>
      <c r="D204" t="s">
        <v>18</v>
      </c>
      <c r="E204" t="s">
        <v>53</v>
      </c>
      <c r="F204" t="str">
        <f>_xlfn.XLOOKUP(E204,'KING TON SALES__ RAW DATA'!$A$2:$A$271,'KING TON SALES__ RAW DATA'!$B$2:$B$271)</f>
        <v>HDMI (10m) WIRE </v>
      </c>
      <c r="G204" t="str">
        <f>_xlfn.XLOOKUP(E204,'KING TON SALES__ RAW DATA'!$A$2:$A$271,'KING TON SALES__ RAW DATA'!$D$2:$D$271)</f>
        <v>WIRE</v>
      </c>
      <c r="H204" s="6">
        <f>_xlfn.XLOOKUP(E204,'KING TON SALES__ RAW DATA'!$A$2:$A$271,'KING TON SALES__ RAW DATA'!$G$2:$G$271)</f>
        <v>2500</v>
      </c>
      <c r="I204">
        <v>19</v>
      </c>
      <c r="J204" s="6">
        <f>_xlfn.XLOOKUP(E204,'KING TON SALES__ RAW DATA'!$A$2:$A$271,'KING TON SALES__ RAW DATA'!$I$2:$I$271)</f>
        <v>5000</v>
      </c>
      <c r="K204" s="6">
        <f t="shared" si="9"/>
        <v>47500</v>
      </c>
      <c r="L204" s="6">
        <f t="shared" si="10"/>
        <v>95000</v>
      </c>
      <c r="M204" s="6">
        <f t="shared" si="11"/>
        <v>47500</v>
      </c>
      <c r="N204" t="str">
        <f>_xlfn.XLOOKUP(E204,'KING TON SALES__ RAW DATA'!$A$2:$A$271,'KING TON SALES__ RAW DATA'!$M$2:$M$271)</f>
        <v>TRANSFER</v>
      </c>
    </row>
    <row r="205" spans="1:14">
      <c r="A205" s="7">
        <v>6866</v>
      </c>
      <c r="B205" s="8">
        <v>46244</v>
      </c>
      <c r="C205" t="s">
        <v>19</v>
      </c>
      <c r="D205" t="s">
        <v>18</v>
      </c>
      <c r="E205" t="s">
        <v>87</v>
      </c>
      <c r="F205" t="str">
        <f>_xlfn.XLOOKUP(E205,'KING TON SALES__ RAW DATA'!$A$2:$A$271,'KING TON SALES__ RAW DATA'!$B$2:$B$271)</f>
        <v>DC TO DC MALE (5m) WIRE</v>
      </c>
      <c r="G205" t="str">
        <f>_xlfn.XLOOKUP(E205,'KING TON SALES__ RAW DATA'!$A$2:$A$271,'KING TON SALES__ RAW DATA'!$D$2:$D$271)</f>
        <v>WIRE</v>
      </c>
      <c r="H205" s="6">
        <f>_xlfn.XLOOKUP(E205,'KING TON SALES__ RAW DATA'!$A$2:$A$271,'KING TON SALES__ RAW DATA'!$G$2:$G$271)</f>
        <v>1500</v>
      </c>
      <c r="I205">
        <v>19</v>
      </c>
      <c r="J205" s="6">
        <f>_xlfn.XLOOKUP(E205,'KING TON SALES__ RAW DATA'!$A$2:$A$271,'KING TON SALES__ RAW DATA'!$I$2:$I$271)</f>
        <v>3500</v>
      </c>
      <c r="K205" s="6">
        <f t="shared" si="9"/>
        <v>28500</v>
      </c>
      <c r="L205" s="6">
        <f t="shared" si="10"/>
        <v>66500</v>
      </c>
      <c r="M205" s="6">
        <f t="shared" si="11"/>
        <v>38000</v>
      </c>
      <c r="N205" t="str">
        <f>_xlfn.XLOOKUP(E205,'KING TON SALES__ RAW DATA'!$A$2:$A$271,'KING TON SALES__ RAW DATA'!$M$2:$M$271)</f>
        <v>POS</v>
      </c>
    </row>
    <row r="206" spans="1:14">
      <c r="A206" s="7">
        <v>6867</v>
      </c>
      <c r="B206" s="8">
        <v>46235</v>
      </c>
      <c r="C206" t="s">
        <v>19</v>
      </c>
      <c r="D206" t="s">
        <v>23</v>
      </c>
      <c r="E206" t="s">
        <v>61</v>
      </c>
      <c r="F206" t="str">
        <f>_xlfn.XLOOKUP(E206,'KING TON SALES__ RAW DATA'!$A$2:$A$271,'KING TON SALES__ RAW DATA'!$B$2:$B$271)</f>
        <v>HDMI (50m) WIRE</v>
      </c>
      <c r="G206" t="str">
        <f>_xlfn.XLOOKUP(E206,'KING TON SALES__ RAW DATA'!$A$2:$A$271,'KING TON SALES__ RAW DATA'!$D$2:$D$271)</f>
        <v>WIRE</v>
      </c>
      <c r="H206" s="6">
        <f>_xlfn.XLOOKUP(E206,'KING TON SALES__ RAW DATA'!$A$2:$A$271,'KING TON SALES__ RAW DATA'!$G$2:$G$271)</f>
        <v>15000</v>
      </c>
      <c r="I206">
        <v>24</v>
      </c>
      <c r="J206" s="6">
        <f>_xlfn.XLOOKUP(E206,'KING TON SALES__ RAW DATA'!$A$2:$A$271,'KING TON SALES__ RAW DATA'!$I$2:$I$271)</f>
        <v>20000</v>
      </c>
      <c r="K206" s="6">
        <f t="shared" si="9"/>
        <v>360000</v>
      </c>
      <c r="L206" s="6">
        <f t="shared" si="10"/>
        <v>480000</v>
      </c>
      <c r="M206" s="6">
        <f t="shared" si="11"/>
        <v>120000</v>
      </c>
      <c r="N206" t="str">
        <f>_xlfn.XLOOKUP(E206,'KING TON SALES__ RAW DATA'!$A$2:$A$271,'KING TON SALES__ RAW DATA'!$M$2:$M$271)</f>
        <v>TRANSFER</v>
      </c>
    </row>
    <row r="207" spans="1:14">
      <c r="A207" s="7">
        <v>6868</v>
      </c>
      <c r="B207" s="8">
        <v>46240</v>
      </c>
      <c r="C207" t="s">
        <v>52</v>
      </c>
      <c r="D207" t="s">
        <v>18</v>
      </c>
      <c r="E207" t="s">
        <v>53</v>
      </c>
      <c r="F207" t="str">
        <f>_xlfn.XLOOKUP(E207,'KING TON SALES__ RAW DATA'!$A$2:$A$271,'KING TON SALES__ RAW DATA'!$B$2:$B$271)</f>
        <v>HDMI (10m) WIRE </v>
      </c>
      <c r="G207" t="str">
        <f>_xlfn.XLOOKUP(E207,'KING TON SALES__ RAW DATA'!$A$2:$A$271,'KING TON SALES__ RAW DATA'!$D$2:$D$271)</f>
        <v>WIRE</v>
      </c>
      <c r="H207" s="6">
        <f>_xlfn.XLOOKUP(E207,'KING TON SALES__ RAW DATA'!$A$2:$A$271,'KING TON SALES__ RAW DATA'!$G$2:$G$271)</f>
        <v>2500</v>
      </c>
      <c r="I207">
        <v>25</v>
      </c>
      <c r="J207" s="6">
        <f>_xlfn.XLOOKUP(E207,'KING TON SALES__ RAW DATA'!$A$2:$A$271,'KING TON SALES__ RAW DATA'!$I$2:$I$271)</f>
        <v>5000</v>
      </c>
      <c r="K207" s="6">
        <f t="shared" si="9"/>
        <v>62500</v>
      </c>
      <c r="L207" s="6">
        <f t="shared" si="10"/>
        <v>125000</v>
      </c>
      <c r="M207" s="6">
        <f t="shared" si="11"/>
        <v>62500</v>
      </c>
      <c r="N207" t="str">
        <f>_xlfn.XLOOKUP(E207,'KING TON SALES__ RAW DATA'!$A$2:$A$271,'KING TON SALES__ RAW DATA'!$M$2:$M$271)</f>
        <v>TRANSFER</v>
      </c>
    </row>
    <row r="208" spans="1:14">
      <c r="A208" s="7">
        <v>6869</v>
      </c>
      <c r="B208" s="8">
        <v>46244</v>
      </c>
      <c r="C208" t="s">
        <v>19</v>
      </c>
      <c r="D208" t="s">
        <v>23</v>
      </c>
      <c r="E208" t="s">
        <v>99</v>
      </c>
      <c r="F208" t="str">
        <f>_xlfn.XLOOKUP(E208,'KING TON SALES__ RAW DATA'!$A$2:$A$271,'KING TON SALES__ RAW DATA'!$B$2:$B$271)</f>
        <v>CAT 4 WIRE</v>
      </c>
      <c r="G208" t="str">
        <f>_xlfn.XLOOKUP(E208,'KING TON SALES__ RAW DATA'!$A$2:$A$271,'KING TON SALES__ RAW DATA'!$D$2:$D$271)</f>
        <v>WIRE</v>
      </c>
      <c r="H208" s="6">
        <f>_xlfn.XLOOKUP(E208,'KING TON SALES__ RAW DATA'!$A$2:$A$271,'KING TON SALES__ RAW DATA'!$G$2:$G$271)</f>
        <v>12000</v>
      </c>
      <c r="I208">
        <v>24</v>
      </c>
      <c r="J208" s="6">
        <f>_xlfn.XLOOKUP(E208,'KING TON SALES__ RAW DATA'!$A$2:$A$271,'KING TON SALES__ RAW DATA'!$I$2:$I$271)</f>
        <v>20000</v>
      </c>
      <c r="K208" s="6">
        <f t="shared" si="9"/>
        <v>288000</v>
      </c>
      <c r="L208" s="6">
        <f t="shared" si="10"/>
        <v>480000</v>
      </c>
      <c r="M208" s="6">
        <f t="shared" si="11"/>
        <v>192000</v>
      </c>
      <c r="N208" t="str">
        <f>_xlfn.XLOOKUP(E208,'KING TON SALES__ RAW DATA'!$A$2:$A$271,'KING TON SALES__ RAW DATA'!$M$2:$M$271)</f>
        <v>TRANSFER</v>
      </c>
    </row>
    <row r="209" spans="1:14">
      <c r="A209" s="7">
        <v>6870</v>
      </c>
      <c r="B209" s="8">
        <v>46208</v>
      </c>
      <c r="C209" t="s">
        <v>33</v>
      </c>
      <c r="D209" t="s">
        <v>23</v>
      </c>
      <c r="E209" t="s">
        <v>48</v>
      </c>
      <c r="F209" t="str">
        <f>_xlfn.XLOOKUP(E209,'KING TON SALES__ RAW DATA'!$A$2:$A$271,'KING TON SALES__ RAW DATA'!$B$2:$B$271)</f>
        <v>HDMI (3m) WIRE</v>
      </c>
      <c r="G209" t="str">
        <f>_xlfn.XLOOKUP(E209,'KING TON SALES__ RAW DATA'!$A$2:$A$271,'KING TON SALES__ RAW DATA'!$D$2:$D$271)</f>
        <v>WIRE</v>
      </c>
      <c r="H209" s="6">
        <f>_xlfn.XLOOKUP(E209,'KING TON SALES__ RAW DATA'!$A$2:$A$271,'KING TON SALES__ RAW DATA'!$G$2:$G$271)</f>
        <v>600</v>
      </c>
      <c r="I209">
        <v>18</v>
      </c>
      <c r="J209" s="6">
        <f>_xlfn.XLOOKUP(E209,'KING TON SALES__ RAW DATA'!$A$2:$A$271,'KING TON SALES__ RAW DATA'!$I$2:$I$271)</f>
        <v>1500</v>
      </c>
      <c r="K209" s="6">
        <f t="shared" si="9"/>
        <v>10800</v>
      </c>
      <c r="L209" s="6">
        <f t="shared" si="10"/>
        <v>27000</v>
      </c>
      <c r="M209" s="6">
        <f t="shared" si="11"/>
        <v>16200</v>
      </c>
      <c r="N209" t="str">
        <f>_xlfn.XLOOKUP(E209,'KING TON SALES__ RAW DATA'!$A$2:$A$271,'KING TON SALES__ RAW DATA'!$M$2:$M$271)</f>
        <v>CASH</v>
      </c>
    </row>
    <row r="210" spans="1:14">
      <c r="A210" s="7">
        <v>6871</v>
      </c>
      <c r="B210" s="8">
        <v>46253</v>
      </c>
      <c r="C210" t="s">
        <v>36</v>
      </c>
      <c r="D210" t="s">
        <v>23</v>
      </c>
      <c r="E210" t="s">
        <v>39</v>
      </c>
      <c r="F210" t="str">
        <f>_xlfn.XLOOKUP(E210,'KING TON SALES__ RAW DATA'!$A$2:$A$271,'KING TON SALES__ RAW DATA'!$B$2:$B$271)</f>
        <v>3 TO 3 AV (5m) WIRE</v>
      </c>
      <c r="G210" t="str">
        <f>_xlfn.XLOOKUP(E210,'KING TON SALES__ RAW DATA'!$A$2:$A$271,'KING TON SALES__ RAW DATA'!$D$2:$D$271)</f>
        <v>WIRE</v>
      </c>
      <c r="H210" s="6">
        <f>_xlfn.XLOOKUP(E210,'KING TON SALES__ RAW DATA'!$A$2:$A$271,'KING TON SALES__ RAW DATA'!$G$2:$G$271)</f>
        <v>1200</v>
      </c>
      <c r="I210">
        <v>25</v>
      </c>
      <c r="J210" s="6">
        <f>_xlfn.XLOOKUP(E210,'KING TON SALES__ RAW DATA'!$A$2:$A$271,'KING TON SALES__ RAW DATA'!$I$2:$I$271)</f>
        <v>2500</v>
      </c>
      <c r="K210" s="6">
        <f t="shared" si="9"/>
        <v>30000</v>
      </c>
      <c r="L210" s="6">
        <f t="shared" si="10"/>
        <v>62500</v>
      </c>
      <c r="M210" s="6">
        <f t="shared" si="11"/>
        <v>32500</v>
      </c>
      <c r="N210" t="str">
        <f>_xlfn.XLOOKUP(E210,'KING TON SALES__ RAW DATA'!$A$2:$A$271,'KING TON SALES__ RAW DATA'!$M$2:$M$271)</f>
        <v>POS</v>
      </c>
    </row>
    <row r="211" spans="1:14">
      <c r="A211" s="7">
        <v>6872</v>
      </c>
      <c r="B211" s="8">
        <v>46234</v>
      </c>
      <c r="C211" t="s">
        <v>33</v>
      </c>
      <c r="D211" t="s">
        <v>23</v>
      </c>
      <c r="E211" t="s">
        <v>65</v>
      </c>
      <c r="F211" t="str">
        <f>_xlfn.XLOOKUP(E211,'KING TON SALES__ RAW DATA'!$A$2:$A$271,'KING TON SALES__ RAW DATA'!$B$2:$B$271)</f>
        <v>4K HDMI (10m) WIRE</v>
      </c>
      <c r="G211" t="str">
        <f>_xlfn.XLOOKUP(E211,'KING TON SALES__ RAW DATA'!$A$2:$A$271,'KING TON SALES__ RAW DATA'!$D$2:$D$271)</f>
        <v>WIRE</v>
      </c>
      <c r="H211" s="6">
        <f>_xlfn.XLOOKUP(E211,'KING TON SALES__ RAW DATA'!$A$2:$A$271,'KING TON SALES__ RAW DATA'!$G$2:$G$271)</f>
        <v>5000</v>
      </c>
      <c r="I211">
        <v>19</v>
      </c>
      <c r="J211" s="6">
        <f>_xlfn.XLOOKUP(E211,'KING TON SALES__ RAW DATA'!$A$2:$A$271,'KING TON SALES__ RAW DATA'!$I$2:$I$271)</f>
        <v>15000</v>
      </c>
      <c r="K211" s="6">
        <f t="shared" si="9"/>
        <v>95000</v>
      </c>
      <c r="L211" s="6">
        <f t="shared" si="10"/>
        <v>285000</v>
      </c>
      <c r="M211" s="6">
        <f t="shared" si="11"/>
        <v>190000</v>
      </c>
      <c r="N211" t="str">
        <f>_xlfn.XLOOKUP(E211,'KING TON SALES__ RAW DATA'!$A$2:$A$271,'KING TON SALES__ RAW DATA'!$M$2:$M$271)</f>
        <v>CASH</v>
      </c>
    </row>
    <row r="212" spans="1:14">
      <c r="A212" s="7">
        <v>6873</v>
      </c>
      <c r="B212" s="8">
        <v>46250</v>
      </c>
      <c r="C212" t="s">
        <v>19</v>
      </c>
      <c r="D212" t="s">
        <v>23</v>
      </c>
      <c r="E212" t="s">
        <v>91</v>
      </c>
      <c r="F212" t="str">
        <f>_xlfn.XLOOKUP(E212,'KING TON SALES__ RAW DATA'!$A$2:$A$271,'KING TON SALES__ RAW DATA'!$B$2:$B$271)</f>
        <v>SNAKE (Tiny) WIRE</v>
      </c>
      <c r="G212" t="str">
        <f>_xlfn.XLOOKUP(E212,'KING TON SALES__ RAW DATA'!$A$2:$A$271,'KING TON SALES__ RAW DATA'!$D$2:$D$271)</f>
        <v>WIRE</v>
      </c>
      <c r="H212" s="6">
        <f>_xlfn.XLOOKUP(E212,'KING TON SALES__ RAW DATA'!$A$2:$A$271,'KING TON SALES__ RAW DATA'!$G$2:$G$271)</f>
        <v>20000</v>
      </c>
      <c r="I212">
        <v>17</v>
      </c>
      <c r="J212" s="6">
        <f>_xlfn.XLOOKUP(E212,'KING TON SALES__ RAW DATA'!$A$2:$A$271,'KING TON SALES__ RAW DATA'!$I$2:$I$271)</f>
        <v>30000</v>
      </c>
      <c r="K212" s="6">
        <f t="shared" si="9"/>
        <v>340000</v>
      </c>
      <c r="L212" s="6">
        <f t="shared" si="10"/>
        <v>510000</v>
      </c>
      <c r="M212" s="6">
        <f t="shared" si="11"/>
        <v>170000</v>
      </c>
      <c r="N212" t="str">
        <f>_xlfn.XLOOKUP(E212,'KING TON SALES__ RAW DATA'!$A$2:$A$271,'KING TON SALES__ RAW DATA'!$M$2:$M$271)</f>
        <v>CASH</v>
      </c>
    </row>
    <row r="213" spans="1:14">
      <c r="A213" s="7">
        <v>6874</v>
      </c>
      <c r="B213" s="8">
        <v>46214</v>
      </c>
      <c r="C213" t="s">
        <v>52</v>
      </c>
      <c r="D213" t="s">
        <v>23</v>
      </c>
      <c r="E213" t="s">
        <v>111</v>
      </c>
      <c r="F213" t="str">
        <f>_xlfn.XLOOKUP(E213,'KING TON SALES__ RAW DATA'!$A$2:$A$271,'KING TON SALES__ RAW DATA'!$B$2:$B$271)</f>
        <v>OPTICAL CABLE (3m)</v>
      </c>
      <c r="G213" t="str">
        <f>_xlfn.XLOOKUP(E213,'KING TON SALES__ RAW DATA'!$A$2:$A$271,'KING TON SALES__ RAW DATA'!$D$2:$D$271)</f>
        <v>WIRE</v>
      </c>
      <c r="H213" s="6">
        <f>_xlfn.XLOOKUP(E213,'KING TON SALES__ RAW DATA'!$A$2:$A$271,'KING TON SALES__ RAW DATA'!$G$2:$G$271)</f>
        <v>2500</v>
      </c>
      <c r="I213">
        <v>25</v>
      </c>
      <c r="J213" s="6">
        <f>_xlfn.XLOOKUP(E213,'KING TON SALES__ RAW DATA'!$A$2:$A$271,'KING TON SALES__ RAW DATA'!$I$2:$I$271)</f>
        <v>5000</v>
      </c>
      <c r="K213" s="6">
        <f t="shared" si="9"/>
        <v>62500</v>
      </c>
      <c r="L213" s="6">
        <f t="shared" si="10"/>
        <v>125000</v>
      </c>
      <c r="M213" s="6">
        <f t="shared" si="11"/>
        <v>62500</v>
      </c>
      <c r="N213" t="str">
        <f>_xlfn.XLOOKUP(E213,'KING TON SALES__ RAW DATA'!$A$2:$A$271,'KING TON SALES__ RAW DATA'!$M$2:$M$271)</f>
        <v>POS</v>
      </c>
    </row>
    <row r="214" spans="1:14">
      <c r="A214" s="7">
        <v>6875</v>
      </c>
      <c r="B214" s="8">
        <v>46213</v>
      </c>
      <c r="C214" t="s">
        <v>43</v>
      </c>
      <c r="D214" t="s">
        <v>23</v>
      </c>
      <c r="E214" t="s">
        <v>44</v>
      </c>
      <c r="F214" t="str">
        <f>_xlfn.XLOOKUP(E214,'KING TON SALES__ RAW DATA'!$A$2:$A$271,'KING TON SALES__ RAW DATA'!$B$2:$B$271)</f>
        <v>3 TO 3 AV (15m) WIRE</v>
      </c>
      <c r="G214" t="str">
        <f>_xlfn.XLOOKUP(E214,'KING TON SALES__ RAW DATA'!$A$2:$A$271,'KING TON SALES__ RAW DATA'!$D$2:$D$271)</f>
        <v>WIRE</v>
      </c>
      <c r="H214" s="6">
        <f>_xlfn.XLOOKUP(E214,'KING TON SALES__ RAW DATA'!$A$2:$A$271,'KING TON SALES__ RAW DATA'!$G$2:$G$271)</f>
        <v>2500</v>
      </c>
      <c r="I214">
        <v>22</v>
      </c>
      <c r="J214" s="6">
        <f>_xlfn.XLOOKUP(E214,'KING TON SALES__ RAW DATA'!$A$2:$A$271,'KING TON SALES__ RAW DATA'!$I$2:$I$271)</f>
        <v>5000</v>
      </c>
      <c r="K214" s="6">
        <f t="shared" si="9"/>
        <v>55000</v>
      </c>
      <c r="L214" s="6">
        <f t="shared" si="10"/>
        <v>110000</v>
      </c>
      <c r="M214" s="6">
        <f t="shared" si="11"/>
        <v>55000</v>
      </c>
      <c r="N214" t="str">
        <f>_xlfn.XLOOKUP(E214,'KING TON SALES__ RAW DATA'!$A$2:$A$271,'KING TON SALES__ RAW DATA'!$M$2:$M$271)</f>
        <v>POS</v>
      </c>
    </row>
    <row r="215" spans="1:14">
      <c r="A215" s="7">
        <v>6876</v>
      </c>
      <c r="B215" s="8">
        <v>46221</v>
      </c>
      <c r="C215" t="s">
        <v>43</v>
      </c>
      <c r="D215" t="s">
        <v>18</v>
      </c>
      <c r="E215" t="s">
        <v>103</v>
      </c>
      <c r="F215" t="str">
        <f>_xlfn.XLOOKUP(E215,'KING TON SALES__ RAW DATA'!$A$2:$A$271,'KING TON SALES__ RAW DATA'!$B$2:$B$271)</f>
        <v>USB TO FEMALE USB (1.5m) CORD</v>
      </c>
      <c r="G215" t="str">
        <f>_xlfn.XLOOKUP(E215,'KING TON SALES__ RAW DATA'!$A$2:$A$271,'KING TON SALES__ RAW DATA'!$D$2:$D$271)</f>
        <v>WIRE</v>
      </c>
      <c r="H215" s="6">
        <f>_xlfn.XLOOKUP(E215,'KING TON SALES__ RAW DATA'!$A$2:$A$271,'KING TON SALES__ RAW DATA'!$G$2:$G$271)</f>
        <v>2500</v>
      </c>
      <c r="I215">
        <v>23</v>
      </c>
      <c r="J215" s="6">
        <f>_xlfn.XLOOKUP(E215,'KING TON SALES__ RAW DATA'!$A$2:$A$271,'KING TON SALES__ RAW DATA'!$I$2:$I$271)</f>
        <v>5000</v>
      </c>
      <c r="K215" s="6">
        <f t="shared" si="9"/>
        <v>57500</v>
      </c>
      <c r="L215" s="6">
        <f t="shared" si="10"/>
        <v>115000</v>
      </c>
      <c r="M215" s="6">
        <f t="shared" si="11"/>
        <v>57500</v>
      </c>
      <c r="N215" t="str">
        <f>_xlfn.XLOOKUP(E215,'KING TON SALES__ RAW DATA'!$A$2:$A$271,'KING TON SALES__ RAW DATA'!$M$2:$M$271)</f>
        <v>TRANSFER</v>
      </c>
    </row>
    <row r="216" spans="1:14">
      <c r="A216" s="7">
        <v>6877</v>
      </c>
      <c r="B216" s="8">
        <v>46218</v>
      </c>
      <c r="C216" t="s">
        <v>19</v>
      </c>
      <c r="D216" t="s">
        <v>18</v>
      </c>
      <c r="E216" t="s">
        <v>138</v>
      </c>
      <c r="F216" t="str">
        <f>_xlfn.XLOOKUP(E216,'KING TON SALES__ RAW DATA'!$A$2:$A$271,'KING TON SALES__ RAW DATA'!$B$2:$B$271)</f>
        <v>MULTI (APC) EXTENTION 6 MOUTH</v>
      </c>
      <c r="G216" t="str">
        <f>_xlfn.XLOOKUP(E216,'KING TON SALES__ RAW DATA'!$A$2:$A$271,'KING TON SALES__ RAW DATA'!$D$2:$D$271)</f>
        <v>ELECTRICAL</v>
      </c>
      <c r="H216" s="6">
        <f>_xlfn.XLOOKUP(E216,'KING TON SALES__ RAW DATA'!$A$2:$A$271,'KING TON SALES__ RAW DATA'!$G$2:$G$271)</f>
        <v>7000</v>
      </c>
      <c r="I216">
        <v>20</v>
      </c>
      <c r="J216" s="6">
        <f>_xlfn.XLOOKUP(E216,'KING TON SALES__ RAW DATA'!$A$2:$A$271,'KING TON SALES__ RAW DATA'!$I$2:$I$271)</f>
        <v>12000</v>
      </c>
      <c r="K216" s="6">
        <f t="shared" si="9"/>
        <v>140000</v>
      </c>
      <c r="L216" s="6">
        <f t="shared" si="10"/>
        <v>240000</v>
      </c>
      <c r="M216" s="6">
        <f t="shared" si="11"/>
        <v>100000</v>
      </c>
      <c r="N216" t="str">
        <f>_xlfn.XLOOKUP(E216,'KING TON SALES__ RAW DATA'!$A$2:$A$271,'KING TON SALES__ RAW DATA'!$M$2:$M$271)</f>
        <v>CASH</v>
      </c>
    </row>
    <row r="217" spans="1:14">
      <c r="A217" s="7">
        <v>6878</v>
      </c>
      <c r="B217" s="8">
        <v>46242</v>
      </c>
      <c r="C217" t="s">
        <v>19</v>
      </c>
      <c r="D217" t="s">
        <v>18</v>
      </c>
      <c r="E217" t="s">
        <v>63</v>
      </c>
      <c r="F217" t="str">
        <f>_xlfn.XLOOKUP(E217,'KING TON SALES__ RAW DATA'!$A$2:$A$271,'KING TON SALES__ RAW DATA'!$B$2:$B$271)</f>
        <v>4K HDMI (5m) WIRE</v>
      </c>
      <c r="G217" t="str">
        <f>_xlfn.XLOOKUP(E217,'KING TON SALES__ RAW DATA'!$A$2:$A$271,'KING TON SALES__ RAW DATA'!$D$2:$D$271)</f>
        <v>WIRE</v>
      </c>
      <c r="H217" s="6">
        <f>_xlfn.XLOOKUP(E217,'KING TON SALES__ RAW DATA'!$A$2:$A$271,'KING TON SALES__ RAW DATA'!$G$2:$G$271)</f>
        <v>3000</v>
      </c>
      <c r="I217">
        <v>25</v>
      </c>
      <c r="J217" s="6">
        <f>_xlfn.XLOOKUP(E217,'KING TON SALES__ RAW DATA'!$A$2:$A$271,'KING TON SALES__ RAW DATA'!$I$2:$I$271)</f>
        <v>8000</v>
      </c>
      <c r="K217" s="6">
        <f t="shared" si="9"/>
        <v>75000</v>
      </c>
      <c r="L217" s="6">
        <f t="shared" si="10"/>
        <v>200000</v>
      </c>
      <c r="M217" s="6">
        <f t="shared" si="11"/>
        <v>125000</v>
      </c>
      <c r="N217" t="str">
        <f>_xlfn.XLOOKUP(E217,'KING TON SALES__ RAW DATA'!$A$2:$A$271,'KING TON SALES__ RAW DATA'!$M$2:$M$271)</f>
        <v>POS</v>
      </c>
    </row>
    <row r="218" spans="1:14">
      <c r="A218" s="7">
        <v>6879</v>
      </c>
      <c r="B218" s="8">
        <v>46224</v>
      </c>
      <c r="C218" t="s">
        <v>19</v>
      </c>
      <c r="D218" t="s">
        <v>23</v>
      </c>
      <c r="E218" t="s">
        <v>146</v>
      </c>
      <c r="F218" t="str">
        <f>_xlfn.XLOOKUP(E218,'KING TON SALES__ RAW DATA'!$A$2:$A$271,'KING TON SALES__ RAW DATA'!$B$2:$B$271)</f>
        <v>BENJOR EXTENTION 8 MOUTH</v>
      </c>
      <c r="G218" t="str">
        <f>_xlfn.XLOOKUP(E218,'KING TON SALES__ RAW DATA'!$A$2:$A$271,'KING TON SALES__ RAW DATA'!$D$2:$D$271)</f>
        <v>ELECTRICAL</v>
      </c>
      <c r="H218" s="6">
        <f>_xlfn.XLOOKUP(E218,'KING TON SALES__ RAW DATA'!$A$2:$A$271,'KING TON SALES__ RAW DATA'!$G$2:$G$271)</f>
        <v>6000</v>
      </c>
      <c r="I218">
        <v>25</v>
      </c>
      <c r="J218" s="6">
        <f>_xlfn.XLOOKUP(E218,'KING TON SALES__ RAW DATA'!$A$2:$A$271,'KING TON SALES__ RAW DATA'!$I$2:$I$271)</f>
        <v>12000</v>
      </c>
      <c r="K218" s="6">
        <f t="shared" si="9"/>
        <v>150000</v>
      </c>
      <c r="L218" s="6">
        <f t="shared" si="10"/>
        <v>300000</v>
      </c>
      <c r="M218" s="6">
        <f t="shared" si="11"/>
        <v>150000</v>
      </c>
      <c r="N218" t="str">
        <f>_xlfn.XLOOKUP(E218,'KING TON SALES__ RAW DATA'!$A$2:$A$271,'KING TON SALES__ RAW DATA'!$M$2:$M$271)</f>
        <v>TRANSFER</v>
      </c>
    </row>
    <row r="219" spans="1:14">
      <c r="A219" s="7">
        <v>6880</v>
      </c>
      <c r="B219" s="8">
        <v>46238</v>
      </c>
      <c r="C219" t="s">
        <v>43</v>
      </c>
      <c r="D219" t="s">
        <v>18</v>
      </c>
      <c r="E219" t="s">
        <v>41</v>
      </c>
      <c r="F219" t="str">
        <f>_xlfn.XLOOKUP(E219,'KING TON SALES__ RAW DATA'!$A$2:$A$271,'KING TON SALES__ RAW DATA'!$B$2:$B$271)</f>
        <v>3 TO 3 AV (10m) WIRE</v>
      </c>
      <c r="G219" t="str">
        <f>_xlfn.XLOOKUP(E219,'KING TON SALES__ RAW DATA'!$A$2:$A$271,'KING TON SALES__ RAW DATA'!$D$2:$D$271)</f>
        <v>WIRE</v>
      </c>
      <c r="H219" s="6">
        <f>_xlfn.XLOOKUP(E219,'KING TON SALES__ RAW DATA'!$A$2:$A$271,'KING TON SALES__ RAW DATA'!$G$2:$G$271)</f>
        <v>1500</v>
      </c>
      <c r="I219">
        <v>17</v>
      </c>
      <c r="J219" s="6">
        <f>_xlfn.XLOOKUP(E219,'KING TON SALES__ RAW DATA'!$A$2:$A$271,'KING TON SALES__ RAW DATA'!$I$2:$I$271)</f>
        <v>3500</v>
      </c>
      <c r="K219" s="6">
        <f t="shared" si="9"/>
        <v>25500</v>
      </c>
      <c r="L219" s="6">
        <f t="shared" si="10"/>
        <v>59500</v>
      </c>
      <c r="M219" s="6">
        <f t="shared" si="11"/>
        <v>34000</v>
      </c>
      <c r="N219" t="str">
        <f>_xlfn.XLOOKUP(E219,'KING TON SALES__ RAW DATA'!$A$2:$A$271,'KING TON SALES__ RAW DATA'!$M$2:$M$271)</f>
        <v>POS</v>
      </c>
    </row>
    <row r="220" spans="1:14">
      <c r="A220" s="7">
        <v>6881</v>
      </c>
      <c r="B220" s="8">
        <v>46236</v>
      </c>
      <c r="C220" t="s">
        <v>19</v>
      </c>
      <c r="D220" t="s">
        <v>23</v>
      </c>
      <c r="E220" t="s">
        <v>55</v>
      </c>
      <c r="F220" t="str">
        <f>_xlfn.XLOOKUP(E220,'KING TON SALES__ RAW DATA'!$A$2:$A$271,'KING TON SALES__ RAW DATA'!$B$2:$B$271)</f>
        <v>HDMI (15m) WIRE</v>
      </c>
      <c r="G220" t="str">
        <f>_xlfn.XLOOKUP(E220,'KING TON SALES__ RAW DATA'!$A$2:$A$271,'KING TON SALES__ RAW DATA'!$D$2:$D$271)</f>
        <v>WIRE</v>
      </c>
      <c r="H220" s="6">
        <f>_xlfn.XLOOKUP(E220,'KING TON SALES__ RAW DATA'!$A$2:$A$271,'KING TON SALES__ RAW DATA'!$G$2:$G$271)</f>
        <v>3000</v>
      </c>
      <c r="I220">
        <v>21</v>
      </c>
      <c r="J220" s="6">
        <f>_xlfn.XLOOKUP(E220,'KING TON SALES__ RAW DATA'!$A$2:$A$271,'KING TON SALES__ RAW DATA'!$I$2:$I$271)</f>
        <v>8000</v>
      </c>
      <c r="K220" s="6">
        <f t="shared" si="9"/>
        <v>63000</v>
      </c>
      <c r="L220" s="6">
        <f t="shared" si="10"/>
        <v>168000</v>
      </c>
      <c r="M220" s="6">
        <f t="shared" si="11"/>
        <v>105000</v>
      </c>
      <c r="N220" t="str">
        <f>_xlfn.XLOOKUP(E220,'KING TON SALES__ RAW DATA'!$A$2:$A$271,'KING TON SALES__ RAW DATA'!$M$2:$M$271)</f>
        <v>TRANSFER</v>
      </c>
    </row>
    <row r="221" spans="1:14">
      <c r="A221" s="7">
        <v>6882</v>
      </c>
      <c r="B221" s="8">
        <v>46229</v>
      </c>
      <c r="C221" t="s">
        <v>52</v>
      </c>
      <c r="D221" t="s">
        <v>18</v>
      </c>
      <c r="E221" t="s">
        <v>113</v>
      </c>
      <c r="F221" t="str">
        <f>_xlfn.XLOOKUP(E221,'KING TON SALES__ RAW DATA'!$A$2:$A$271,'KING TON SALES__ RAW DATA'!$B$2:$B$271)</f>
        <v>13 AMPS PLUG HEAD BENJOR</v>
      </c>
      <c r="G221" t="str">
        <f>_xlfn.XLOOKUP(E221,'KING TON SALES__ RAW DATA'!$A$2:$A$271,'KING TON SALES__ RAW DATA'!$D$2:$D$271)</f>
        <v>ELECTRICAL</v>
      </c>
      <c r="H221" s="6">
        <f>_xlfn.XLOOKUP(E221,'KING TON SALES__ RAW DATA'!$A$2:$A$271,'KING TON SALES__ RAW DATA'!$G$2:$G$271)</f>
        <v>600</v>
      </c>
      <c r="I221">
        <v>17</v>
      </c>
      <c r="J221" s="6">
        <f>_xlfn.XLOOKUP(E221,'KING TON SALES__ RAW DATA'!$A$2:$A$271,'KING TON SALES__ RAW DATA'!$I$2:$I$271)</f>
        <v>1000</v>
      </c>
      <c r="K221" s="6">
        <f t="shared" si="9"/>
        <v>10200</v>
      </c>
      <c r="L221" s="6">
        <f t="shared" si="10"/>
        <v>17000</v>
      </c>
      <c r="M221" s="6">
        <f t="shared" si="11"/>
        <v>6800</v>
      </c>
      <c r="N221" t="str">
        <f>_xlfn.XLOOKUP(E221,'KING TON SALES__ RAW DATA'!$A$2:$A$271,'KING TON SALES__ RAW DATA'!$M$2:$M$271)</f>
        <v>TRANSFER</v>
      </c>
    </row>
    <row r="222" spans="1:14">
      <c r="A222" s="7">
        <v>6883</v>
      </c>
      <c r="B222" s="8">
        <v>46262</v>
      </c>
      <c r="C222" t="s">
        <v>19</v>
      </c>
      <c r="D222" t="s">
        <v>23</v>
      </c>
      <c r="E222" t="s">
        <v>122</v>
      </c>
      <c r="F222" t="str">
        <f>_xlfn.XLOOKUP(E222,'KING TON SALES__ RAW DATA'!$A$2:$A$271,'KING TON SALES__ RAW DATA'!$B$2:$B$271)</f>
        <v>13 AMPS SINGLE SOCKET NEW</v>
      </c>
      <c r="G222" t="str">
        <f>_xlfn.XLOOKUP(E222,'KING TON SALES__ RAW DATA'!$A$2:$A$271,'KING TON SALES__ RAW DATA'!$D$2:$D$271)</f>
        <v>ELECTRICAL</v>
      </c>
      <c r="H222" s="6">
        <f>_xlfn.XLOOKUP(E222,'KING TON SALES__ RAW DATA'!$A$2:$A$271,'KING TON SALES__ RAW DATA'!$G$2:$G$271)</f>
        <v>500</v>
      </c>
      <c r="I222">
        <v>22</v>
      </c>
      <c r="J222" s="6">
        <f>_xlfn.XLOOKUP(E222,'KING TON SALES__ RAW DATA'!$A$2:$A$271,'KING TON SALES__ RAW DATA'!$I$2:$I$271)</f>
        <v>1000</v>
      </c>
      <c r="K222" s="6">
        <f t="shared" si="9"/>
        <v>11000</v>
      </c>
      <c r="L222" s="6">
        <f t="shared" si="10"/>
        <v>22000</v>
      </c>
      <c r="M222" s="6">
        <f t="shared" si="11"/>
        <v>11000</v>
      </c>
      <c r="N222" t="str">
        <f>_xlfn.XLOOKUP(E222,'KING TON SALES__ RAW DATA'!$A$2:$A$271,'KING TON SALES__ RAW DATA'!$M$2:$M$271)</f>
        <v>TRANSFER</v>
      </c>
    </row>
    <row r="223" spans="1:14">
      <c r="A223" s="7">
        <v>6884</v>
      </c>
      <c r="B223" s="8">
        <v>46250</v>
      </c>
      <c r="C223" t="s">
        <v>36</v>
      </c>
      <c r="D223" t="s">
        <v>23</v>
      </c>
      <c r="E223" t="s">
        <v>71</v>
      </c>
      <c r="F223" t="str">
        <f>_xlfn.XLOOKUP(E223,'KING TON SALES__ RAW DATA'!$A$2:$A$271,'KING TON SALES__ RAW DATA'!$B$2:$B$271)</f>
        <v>4K HDMI (100m) WIRE</v>
      </c>
      <c r="G223" t="str">
        <f>_xlfn.XLOOKUP(E223,'KING TON SALES__ RAW DATA'!$A$2:$A$271,'KING TON SALES__ RAW DATA'!$D$2:$D$271)</f>
        <v>WIRE</v>
      </c>
      <c r="H223" s="6">
        <f>_xlfn.XLOOKUP(E223,'KING TON SALES__ RAW DATA'!$A$2:$A$271,'KING TON SALES__ RAW DATA'!$G$2:$G$271)</f>
        <v>60000</v>
      </c>
      <c r="I223">
        <v>20</v>
      </c>
      <c r="J223" s="6">
        <f>_xlfn.XLOOKUP(E223,'KING TON SALES__ RAW DATA'!$A$2:$A$271,'KING TON SALES__ RAW DATA'!$I$2:$I$271)</f>
        <v>100000</v>
      </c>
      <c r="K223" s="6">
        <f t="shared" si="9"/>
        <v>1200000</v>
      </c>
      <c r="L223" s="6">
        <f t="shared" si="10"/>
        <v>2000000</v>
      </c>
      <c r="M223" s="6">
        <f t="shared" si="11"/>
        <v>800000</v>
      </c>
      <c r="N223" t="str">
        <f>_xlfn.XLOOKUP(E223,'KING TON SALES__ RAW DATA'!$A$2:$A$271,'KING TON SALES__ RAW DATA'!$M$2:$M$271)</f>
        <v>POS</v>
      </c>
    </row>
    <row r="224" spans="1:14">
      <c r="A224" s="7">
        <v>6885</v>
      </c>
      <c r="B224" s="8">
        <v>46223</v>
      </c>
      <c r="C224" t="s">
        <v>33</v>
      </c>
      <c r="D224" t="s">
        <v>23</v>
      </c>
      <c r="E224" t="s">
        <v>31</v>
      </c>
      <c r="F224" t="str">
        <f>_xlfn.XLOOKUP(E224,'KING TON SALES__ RAW DATA'!$A$2:$A$271,'KING TON SALES__ RAW DATA'!$B$2:$B$271)</f>
        <v>AUX TO JACK (1.5m) WIRE</v>
      </c>
      <c r="G224" t="str">
        <f>_xlfn.XLOOKUP(E224,'KING TON SALES__ RAW DATA'!$A$2:$A$271,'KING TON SALES__ RAW DATA'!$D$2:$D$271)</f>
        <v>WIRE</v>
      </c>
      <c r="H224" s="6">
        <f>_xlfn.XLOOKUP(E224,'KING TON SALES__ RAW DATA'!$A$2:$A$271,'KING TON SALES__ RAW DATA'!$G$2:$G$271)</f>
        <v>600</v>
      </c>
      <c r="I224">
        <v>25</v>
      </c>
      <c r="J224" s="6">
        <f>_xlfn.XLOOKUP(E224,'KING TON SALES__ RAW DATA'!$A$2:$A$271,'KING TON SALES__ RAW DATA'!$I$2:$I$271)</f>
        <v>1000</v>
      </c>
      <c r="K224" s="6">
        <f t="shared" si="9"/>
        <v>15000</v>
      </c>
      <c r="L224" s="6">
        <f t="shared" si="10"/>
        <v>25000</v>
      </c>
      <c r="M224" s="6">
        <f t="shared" si="11"/>
        <v>10000</v>
      </c>
      <c r="N224" t="str">
        <f>_xlfn.XLOOKUP(E224,'KING TON SALES__ RAW DATA'!$A$2:$A$271,'KING TON SALES__ RAW DATA'!$M$2:$M$271)</f>
        <v>TRANSFER</v>
      </c>
    </row>
    <row r="225" spans="1:14">
      <c r="A225" s="7">
        <v>6886</v>
      </c>
      <c r="B225" s="8">
        <v>46259</v>
      </c>
      <c r="C225" t="s">
        <v>43</v>
      </c>
      <c r="D225" t="s">
        <v>18</v>
      </c>
      <c r="E225" t="s">
        <v>73</v>
      </c>
      <c r="F225" t="str">
        <f>_xlfn.XLOOKUP(E225,'KING TON SALES__ RAW DATA'!$A$2:$A$271,'KING TON SALES__ RAW DATA'!$B$2:$B$271)</f>
        <v>BLUE 4K HDMI (1.5m) WIRE</v>
      </c>
      <c r="G225" t="str">
        <f>_xlfn.XLOOKUP(E225,'KING TON SALES__ RAW DATA'!$A$2:$A$271,'KING TON SALES__ RAW DATA'!$D$2:$D$271)</f>
        <v>WIRE</v>
      </c>
      <c r="H225" s="6">
        <f>_xlfn.XLOOKUP(E225,'KING TON SALES__ RAW DATA'!$A$2:$A$271,'KING TON SALES__ RAW DATA'!$G$2:$G$271)</f>
        <v>1500</v>
      </c>
      <c r="I225">
        <v>18</v>
      </c>
      <c r="J225" s="6">
        <f>_xlfn.XLOOKUP(E225,'KING TON SALES__ RAW DATA'!$A$2:$A$271,'KING TON SALES__ RAW DATA'!$I$2:$I$271)</f>
        <v>3000</v>
      </c>
      <c r="K225" s="6">
        <f t="shared" si="9"/>
        <v>27000</v>
      </c>
      <c r="L225" s="6">
        <f t="shared" si="10"/>
        <v>54000</v>
      </c>
      <c r="M225" s="6">
        <f t="shared" si="11"/>
        <v>27000</v>
      </c>
      <c r="N225" t="str">
        <f>_xlfn.XLOOKUP(E225,'KING TON SALES__ RAW DATA'!$A$2:$A$271,'KING TON SALES__ RAW DATA'!$M$2:$M$271)</f>
        <v>CASH</v>
      </c>
    </row>
    <row r="226" spans="1:14">
      <c r="A226" s="7">
        <v>6887</v>
      </c>
      <c r="B226" s="8">
        <v>46236</v>
      </c>
      <c r="C226" t="s">
        <v>19</v>
      </c>
      <c r="D226" t="s">
        <v>18</v>
      </c>
      <c r="E226" t="s">
        <v>77</v>
      </c>
      <c r="F226" t="str">
        <f>_xlfn.XLOOKUP(E226,'KING TON SALES__ RAW DATA'!$A$2:$A$271,'KING TON SALES__ RAW DATA'!$B$2:$B$271)</f>
        <v>BLUE 4K HDMI (5m) WIRE</v>
      </c>
      <c r="G226" t="str">
        <f>_xlfn.XLOOKUP(E226,'KING TON SALES__ RAW DATA'!$A$2:$A$271,'KING TON SALES__ RAW DATA'!$D$2:$D$271)</f>
        <v>WIRE</v>
      </c>
      <c r="H226" s="6">
        <f>_xlfn.XLOOKUP(E226,'KING TON SALES__ RAW DATA'!$A$2:$A$271,'KING TON SALES__ RAW DATA'!$G$2:$G$271)</f>
        <v>3500</v>
      </c>
      <c r="I226">
        <v>19</v>
      </c>
      <c r="J226" s="6">
        <f>_xlfn.XLOOKUP(E226,'KING TON SALES__ RAW DATA'!$A$2:$A$271,'KING TON SALES__ RAW DATA'!$I$2:$I$271)</f>
        <v>8000</v>
      </c>
      <c r="K226" s="6">
        <f t="shared" si="9"/>
        <v>66500</v>
      </c>
      <c r="L226" s="6">
        <f t="shared" si="10"/>
        <v>152000</v>
      </c>
      <c r="M226" s="6">
        <f t="shared" si="11"/>
        <v>85500</v>
      </c>
      <c r="N226" t="str">
        <f>_xlfn.XLOOKUP(E226,'KING TON SALES__ RAW DATA'!$A$2:$A$271,'KING TON SALES__ RAW DATA'!$M$2:$M$271)</f>
        <v>TRANSFER</v>
      </c>
    </row>
    <row r="227" spans="1:14">
      <c r="A227" s="7">
        <v>6888</v>
      </c>
      <c r="B227" s="8">
        <v>46263</v>
      </c>
      <c r="C227" t="s">
        <v>33</v>
      </c>
      <c r="D227" t="s">
        <v>23</v>
      </c>
      <c r="E227" t="s">
        <v>140</v>
      </c>
      <c r="F227" t="str">
        <f>_xlfn.XLOOKUP(E227,'KING TON SALES__ RAW DATA'!$A$2:$A$271,'KING TON SALES__ RAW DATA'!$B$2:$B$271)</f>
        <v>BENJOR EXTENTION 3 MOUTH</v>
      </c>
      <c r="G227" t="str">
        <f>_xlfn.XLOOKUP(E227,'KING TON SALES__ RAW DATA'!$A$2:$A$271,'KING TON SALES__ RAW DATA'!$D$2:$D$271)</f>
        <v>ELECTRICAL</v>
      </c>
      <c r="H227" s="6">
        <f>_xlfn.XLOOKUP(E227,'KING TON SALES__ RAW DATA'!$A$2:$A$271,'KING TON SALES__ RAW DATA'!$G$2:$G$271)</f>
        <v>2000</v>
      </c>
      <c r="I227">
        <v>20</v>
      </c>
      <c r="J227" s="6">
        <f>_xlfn.XLOOKUP(E227,'KING TON SALES__ RAW DATA'!$A$2:$A$271,'KING TON SALES__ RAW DATA'!$I$2:$I$271)</f>
        <v>7000</v>
      </c>
      <c r="K227" s="6">
        <f t="shared" si="9"/>
        <v>40000</v>
      </c>
      <c r="L227" s="6">
        <f t="shared" si="10"/>
        <v>140000</v>
      </c>
      <c r="M227" s="6">
        <f t="shared" si="11"/>
        <v>100000</v>
      </c>
      <c r="N227" t="str">
        <f>_xlfn.XLOOKUP(E227,'KING TON SALES__ RAW DATA'!$A$2:$A$271,'KING TON SALES__ RAW DATA'!$M$2:$M$271)</f>
        <v>CASH</v>
      </c>
    </row>
    <row r="228" spans="1:14">
      <c r="A228" s="7">
        <v>6889</v>
      </c>
      <c r="B228" s="8">
        <v>46217</v>
      </c>
      <c r="C228" t="s">
        <v>19</v>
      </c>
      <c r="D228" t="s">
        <v>18</v>
      </c>
      <c r="E228" t="s">
        <v>63</v>
      </c>
      <c r="F228" t="str">
        <f>_xlfn.XLOOKUP(E228,'KING TON SALES__ RAW DATA'!$A$2:$A$271,'KING TON SALES__ RAW DATA'!$B$2:$B$271)</f>
        <v>4K HDMI (5m) WIRE</v>
      </c>
      <c r="G228" t="str">
        <f>_xlfn.XLOOKUP(E228,'KING TON SALES__ RAW DATA'!$A$2:$A$271,'KING TON SALES__ RAW DATA'!$D$2:$D$271)</f>
        <v>WIRE</v>
      </c>
      <c r="H228" s="6">
        <f>_xlfn.XLOOKUP(E228,'KING TON SALES__ RAW DATA'!$A$2:$A$271,'KING TON SALES__ RAW DATA'!$G$2:$G$271)</f>
        <v>3000</v>
      </c>
      <c r="I228">
        <v>20</v>
      </c>
      <c r="J228" s="6">
        <f>_xlfn.XLOOKUP(E228,'KING TON SALES__ RAW DATA'!$A$2:$A$271,'KING TON SALES__ RAW DATA'!$I$2:$I$271)</f>
        <v>8000</v>
      </c>
      <c r="K228" s="6">
        <f t="shared" si="9"/>
        <v>60000</v>
      </c>
      <c r="L228" s="6">
        <f t="shared" si="10"/>
        <v>160000</v>
      </c>
      <c r="M228" s="6">
        <f t="shared" si="11"/>
        <v>100000</v>
      </c>
      <c r="N228" t="str">
        <f>_xlfn.XLOOKUP(E228,'KING TON SALES__ RAW DATA'!$A$2:$A$271,'KING TON SALES__ RAW DATA'!$M$2:$M$271)</f>
        <v>POS</v>
      </c>
    </row>
    <row r="229" spans="1:14">
      <c r="A229" s="7">
        <v>6890</v>
      </c>
      <c r="B229" s="8">
        <v>46232</v>
      </c>
      <c r="C229" t="s">
        <v>43</v>
      </c>
      <c r="D229" t="s">
        <v>23</v>
      </c>
      <c r="E229" t="s">
        <v>44</v>
      </c>
      <c r="F229" t="str">
        <f>_xlfn.XLOOKUP(E229,'KING TON SALES__ RAW DATA'!$A$2:$A$271,'KING TON SALES__ RAW DATA'!$B$2:$B$271)</f>
        <v>3 TO 3 AV (15m) WIRE</v>
      </c>
      <c r="G229" t="str">
        <f>_xlfn.XLOOKUP(E229,'KING TON SALES__ RAW DATA'!$A$2:$A$271,'KING TON SALES__ RAW DATA'!$D$2:$D$271)</f>
        <v>WIRE</v>
      </c>
      <c r="H229" s="6">
        <f>_xlfn.XLOOKUP(E229,'KING TON SALES__ RAW DATA'!$A$2:$A$271,'KING TON SALES__ RAW DATA'!$G$2:$G$271)</f>
        <v>2500</v>
      </c>
      <c r="I229">
        <v>23</v>
      </c>
      <c r="J229" s="6">
        <f>_xlfn.XLOOKUP(E229,'KING TON SALES__ RAW DATA'!$A$2:$A$271,'KING TON SALES__ RAW DATA'!$I$2:$I$271)</f>
        <v>5000</v>
      </c>
      <c r="K229" s="6">
        <f t="shared" si="9"/>
        <v>57500</v>
      </c>
      <c r="L229" s="6">
        <f t="shared" si="10"/>
        <v>115000</v>
      </c>
      <c r="M229" s="6">
        <f t="shared" si="11"/>
        <v>57500</v>
      </c>
      <c r="N229" t="str">
        <f>_xlfn.XLOOKUP(E229,'KING TON SALES__ RAW DATA'!$A$2:$A$271,'KING TON SALES__ RAW DATA'!$M$2:$M$271)</f>
        <v>POS</v>
      </c>
    </row>
    <row r="230" spans="1:14">
      <c r="A230" s="7">
        <v>6891</v>
      </c>
      <c r="B230" s="8">
        <v>46205</v>
      </c>
      <c r="C230" t="s">
        <v>43</v>
      </c>
      <c r="D230" t="s">
        <v>23</v>
      </c>
      <c r="E230" t="s">
        <v>75</v>
      </c>
      <c r="F230" t="str">
        <f>_xlfn.XLOOKUP(E230,'KING TON SALES__ RAW DATA'!$A$2:$A$271,'KING TON SALES__ RAW DATA'!$B$2:$B$271)</f>
        <v>BLUE 4K HDMI (3m) WIRE</v>
      </c>
      <c r="G230" t="str">
        <f>_xlfn.XLOOKUP(E230,'KING TON SALES__ RAW DATA'!$A$2:$A$271,'KING TON SALES__ RAW DATA'!$D$2:$D$271)</f>
        <v>WIRE</v>
      </c>
      <c r="H230" s="6">
        <f>_xlfn.XLOOKUP(E230,'KING TON SALES__ RAW DATA'!$A$2:$A$271,'KING TON SALES__ RAW DATA'!$G$2:$G$271)</f>
        <v>3000</v>
      </c>
      <c r="I230">
        <v>23</v>
      </c>
      <c r="J230" s="6">
        <f>_xlfn.XLOOKUP(E230,'KING TON SALES__ RAW DATA'!$A$2:$A$271,'KING TON SALES__ RAW DATA'!$I$2:$I$271)</f>
        <v>6000</v>
      </c>
      <c r="K230" s="6">
        <f t="shared" si="9"/>
        <v>69000</v>
      </c>
      <c r="L230" s="6">
        <f t="shared" si="10"/>
        <v>138000</v>
      </c>
      <c r="M230" s="6">
        <f t="shared" si="11"/>
        <v>69000</v>
      </c>
      <c r="N230" t="str">
        <f>_xlfn.XLOOKUP(E230,'KING TON SALES__ RAW DATA'!$A$2:$A$271,'KING TON SALES__ RAW DATA'!$M$2:$M$271)</f>
        <v>POS</v>
      </c>
    </row>
    <row r="231" spans="1:14">
      <c r="A231" s="7">
        <v>6892</v>
      </c>
      <c r="B231" s="8">
        <v>46232</v>
      </c>
      <c r="C231" t="s">
        <v>19</v>
      </c>
      <c r="D231" t="s">
        <v>23</v>
      </c>
      <c r="E231" t="s">
        <v>120</v>
      </c>
      <c r="F231" t="str">
        <f>_xlfn.XLOOKUP(E231,'KING TON SALES__ RAW DATA'!$A$2:$A$271,'KING TON SALES__ RAW DATA'!$B$2:$B$271)</f>
        <v>13 AMPS DOUBLE SOCKET BENJOR</v>
      </c>
      <c r="G231" t="str">
        <f>_xlfn.XLOOKUP(E231,'KING TON SALES__ RAW DATA'!$A$2:$A$271,'KING TON SALES__ RAW DATA'!$D$2:$D$271)</f>
        <v>ELECTRICAL</v>
      </c>
      <c r="H231" s="6">
        <f>_xlfn.XLOOKUP(E231,'KING TON SALES__ RAW DATA'!$A$2:$A$271,'KING TON SALES__ RAW DATA'!$G$2:$G$271)</f>
        <v>2500</v>
      </c>
      <c r="I231">
        <v>22</v>
      </c>
      <c r="J231" s="6">
        <f>_xlfn.XLOOKUP(E231,'KING TON SALES__ RAW DATA'!$A$2:$A$271,'KING TON SALES__ RAW DATA'!$I$2:$I$271)</f>
        <v>5000</v>
      </c>
      <c r="K231" s="6">
        <f t="shared" si="9"/>
        <v>55000</v>
      </c>
      <c r="L231" s="6">
        <f t="shared" si="10"/>
        <v>110000</v>
      </c>
      <c r="M231" s="6">
        <f t="shared" si="11"/>
        <v>55000</v>
      </c>
      <c r="N231" t="str">
        <f>_xlfn.XLOOKUP(E231,'KING TON SALES__ RAW DATA'!$A$2:$A$271,'KING TON SALES__ RAW DATA'!$M$2:$M$271)</f>
        <v>POS</v>
      </c>
    </row>
    <row r="232" spans="1:14">
      <c r="A232" s="7">
        <v>6893</v>
      </c>
      <c r="B232" s="8">
        <v>46219</v>
      </c>
      <c r="C232" t="s">
        <v>52</v>
      </c>
      <c r="D232" t="s">
        <v>23</v>
      </c>
      <c r="E232" t="s">
        <v>142</v>
      </c>
      <c r="F232" t="str">
        <f>_xlfn.XLOOKUP(E232,'KING TON SALES__ RAW DATA'!$A$2:$A$271,'KING TON SALES__ RAW DATA'!$B$2:$B$271)</f>
        <v>BENJOR EXTENTION 5 MOUTH</v>
      </c>
      <c r="G232" t="str">
        <f>_xlfn.XLOOKUP(E232,'KING TON SALES__ RAW DATA'!$A$2:$A$271,'KING TON SALES__ RAW DATA'!$D$2:$D$271)</f>
        <v>ELECTRICAL</v>
      </c>
      <c r="H232" s="6">
        <f>_xlfn.XLOOKUP(E232,'KING TON SALES__ RAW DATA'!$A$2:$A$271,'KING TON SALES__ RAW DATA'!$G$2:$G$271)</f>
        <v>4000</v>
      </c>
      <c r="I232">
        <v>23</v>
      </c>
      <c r="J232" s="6">
        <f>_xlfn.XLOOKUP(E232,'KING TON SALES__ RAW DATA'!$A$2:$A$271,'KING TON SALES__ RAW DATA'!$I$2:$I$271)</f>
        <v>8000</v>
      </c>
      <c r="K232" s="6">
        <f t="shared" si="9"/>
        <v>92000</v>
      </c>
      <c r="L232" s="6">
        <f t="shared" si="10"/>
        <v>184000</v>
      </c>
      <c r="M232" s="6">
        <f t="shared" si="11"/>
        <v>92000</v>
      </c>
      <c r="N232" t="str">
        <f>_xlfn.XLOOKUP(E232,'KING TON SALES__ RAW DATA'!$A$2:$A$271,'KING TON SALES__ RAW DATA'!$M$2:$M$271)</f>
        <v>TRANSFER</v>
      </c>
    </row>
    <row r="233" spans="1:14">
      <c r="A233" s="7">
        <v>6894</v>
      </c>
      <c r="B233" s="8">
        <v>46223</v>
      </c>
      <c r="C233" t="s">
        <v>36</v>
      </c>
      <c r="D233" t="s">
        <v>23</v>
      </c>
      <c r="E233" t="s">
        <v>39</v>
      </c>
      <c r="F233" t="str">
        <f>_xlfn.XLOOKUP(E233,'KING TON SALES__ RAW DATA'!$A$2:$A$271,'KING TON SALES__ RAW DATA'!$B$2:$B$271)</f>
        <v>3 TO 3 AV (5m) WIRE</v>
      </c>
      <c r="G233" t="str">
        <f>_xlfn.XLOOKUP(E233,'KING TON SALES__ RAW DATA'!$A$2:$A$271,'KING TON SALES__ RAW DATA'!$D$2:$D$271)</f>
        <v>WIRE</v>
      </c>
      <c r="H233" s="6">
        <f>_xlfn.XLOOKUP(E233,'KING TON SALES__ RAW DATA'!$A$2:$A$271,'KING TON SALES__ RAW DATA'!$G$2:$G$271)</f>
        <v>1200</v>
      </c>
      <c r="I233">
        <v>19</v>
      </c>
      <c r="J233" s="6">
        <f>_xlfn.XLOOKUP(E233,'KING TON SALES__ RAW DATA'!$A$2:$A$271,'KING TON SALES__ RAW DATA'!$I$2:$I$271)</f>
        <v>2500</v>
      </c>
      <c r="K233" s="6">
        <f t="shared" si="9"/>
        <v>22800</v>
      </c>
      <c r="L233" s="6">
        <f t="shared" si="10"/>
        <v>47500</v>
      </c>
      <c r="M233" s="6">
        <f t="shared" si="11"/>
        <v>24700</v>
      </c>
      <c r="N233" t="str">
        <f>_xlfn.XLOOKUP(E233,'KING TON SALES__ RAW DATA'!$A$2:$A$271,'KING TON SALES__ RAW DATA'!$M$2:$M$271)</f>
        <v>POS</v>
      </c>
    </row>
    <row r="234" spans="1:14">
      <c r="A234" s="7">
        <v>6895</v>
      </c>
      <c r="B234" s="8">
        <v>46242</v>
      </c>
      <c r="C234" t="s">
        <v>43</v>
      </c>
      <c r="D234" t="s">
        <v>18</v>
      </c>
      <c r="E234" t="s">
        <v>73</v>
      </c>
      <c r="F234" t="str">
        <f>_xlfn.XLOOKUP(E234,'KING TON SALES__ RAW DATA'!$A$2:$A$271,'KING TON SALES__ RAW DATA'!$B$2:$B$271)</f>
        <v>BLUE 4K HDMI (1.5m) WIRE</v>
      </c>
      <c r="G234" t="str">
        <f>_xlfn.XLOOKUP(E234,'KING TON SALES__ RAW DATA'!$A$2:$A$271,'KING TON SALES__ RAW DATA'!$D$2:$D$271)</f>
        <v>WIRE</v>
      </c>
      <c r="H234" s="6">
        <f>_xlfn.XLOOKUP(E234,'KING TON SALES__ RAW DATA'!$A$2:$A$271,'KING TON SALES__ RAW DATA'!$G$2:$G$271)</f>
        <v>1500</v>
      </c>
      <c r="I234">
        <v>18</v>
      </c>
      <c r="J234" s="6">
        <f>_xlfn.XLOOKUP(E234,'KING TON SALES__ RAW DATA'!$A$2:$A$271,'KING TON SALES__ RAW DATA'!$I$2:$I$271)</f>
        <v>3000</v>
      </c>
      <c r="K234" s="6">
        <f t="shared" si="9"/>
        <v>27000</v>
      </c>
      <c r="L234" s="6">
        <f t="shared" si="10"/>
        <v>54000</v>
      </c>
      <c r="M234" s="6">
        <f t="shared" si="11"/>
        <v>27000</v>
      </c>
      <c r="N234" t="str">
        <f>_xlfn.XLOOKUP(E234,'KING TON SALES__ RAW DATA'!$A$2:$A$271,'KING TON SALES__ RAW DATA'!$M$2:$M$271)</f>
        <v>CASH</v>
      </c>
    </row>
    <row r="235" spans="1:14">
      <c r="A235" s="7">
        <v>6896</v>
      </c>
      <c r="B235" s="8">
        <v>46230</v>
      </c>
      <c r="C235" t="s">
        <v>43</v>
      </c>
      <c r="D235" t="s">
        <v>23</v>
      </c>
      <c r="E235" t="s">
        <v>75</v>
      </c>
      <c r="F235" t="str">
        <f>_xlfn.XLOOKUP(E235,'KING TON SALES__ RAW DATA'!$A$2:$A$271,'KING TON SALES__ RAW DATA'!$B$2:$B$271)</f>
        <v>BLUE 4K HDMI (3m) WIRE</v>
      </c>
      <c r="G235" t="str">
        <f>_xlfn.XLOOKUP(E235,'KING TON SALES__ RAW DATA'!$A$2:$A$271,'KING TON SALES__ RAW DATA'!$D$2:$D$271)</f>
        <v>WIRE</v>
      </c>
      <c r="H235" s="6">
        <f>_xlfn.XLOOKUP(E235,'KING TON SALES__ RAW DATA'!$A$2:$A$271,'KING TON SALES__ RAW DATA'!$G$2:$G$271)</f>
        <v>3000</v>
      </c>
      <c r="I235">
        <v>20</v>
      </c>
      <c r="J235" s="6">
        <f>_xlfn.XLOOKUP(E235,'KING TON SALES__ RAW DATA'!$A$2:$A$271,'KING TON SALES__ RAW DATA'!$I$2:$I$271)</f>
        <v>6000</v>
      </c>
      <c r="K235" s="6">
        <f t="shared" si="9"/>
        <v>60000</v>
      </c>
      <c r="L235" s="6">
        <f t="shared" si="10"/>
        <v>120000</v>
      </c>
      <c r="M235" s="6">
        <f t="shared" si="11"/>
        <v>60000</v>
      </c>
      <c r="N235" t="str">
        <f>_xlfn.XLOOKUP(E235,'KING TON SALES__ RAW DATA'!$A$2:$A$271,'KING TON SALES__ RAW DATA'!$M$2:$M$271)</f>
        <v>POS</v>
      </c>
    </row>
    <row r="236" spans="1:14">
      <c r="A236" s="7">
        <v>6897</v>
      </c>
      <c r="B236" s="8">
        <v>46211</v>
      </c>
      <c r="C236" t="s">
        <v>52</v>
      </c>
      <c r="D236" t="s">
        <v>18</v>
      </c>
      <c r="E236" t="s">
        <v>144</v>
      </c>
      <c r="F236" t="str">
        <f>_xlfn.XLOOKUP(E236,'KING TON SALES__ RAW DATA'!$A$2:$A$271,'KING TON SALES__ RAW DATA'!$B$2:$B$271)</f>
        <v>BENJOR EXTENTION 6 MOUTH</v>
      </c>
      <c r="G236" t="str">
        <f>_xlfn.XLOOKUP(E236,'KING TON SALES__ RAW DATA'!$A$2:$A$271,'KING TON SALES__ RAW DATA'!$D$2:$D$271)</f>
        <v>ELECTRICAL</v>
      </c>
      <c r="H236" s="6">
        <f>_xlfn.XLOOKUP(E236,'KING TON SALES__ RAW DATA'!$A$2:$A$271,'KING TON SALES__ RAW DATA'!$G$2:$G$271)</f>
        <v>6000</v>
      </c>
      <c r="I236">
        <v>22</v>
      </c>
      <c r="J236" s="6">
        <f>_xlfn.XLOOKUP(E236,'KING TON SALES__ RAW DATA'!$A$2:$A$271,'KING TON SALES__ RAW DATA'!$I$2:$I$271)</f>
        <v>12000</v>
      </c>
      <c r="K236" s="6">
        <f t="shared" si="9"/>
        <v>132000</v>
      </c>
      <c r="L236" s="6">
        <f t="shared" si="10"/>
        <v>264000</v>
      </c>
      <c r="M236" s="6">
        <f t="shared" si="11"/>
        <v>132000</v>
      </c>
      <c r="N236" t="str">
        <f>_xlfn.XLOOKUP(E236,'KING TON SALES__ RAW DATA'!$A$2:$A$271,'KING TON SALES__ RAW DATA'!$M$2:$M$271)</f>
        <v>TRANSFER</v>
      </c>
    </row>
    <row r="237" spans="1:14">
      <c r="A237" s="7">
        <v>6898</v>
      </c>
      <c r="B237" s="8">
        <v>46210</v>
      </c>
      <c r="C237" t="s">
        <v>19</v>
      </c>
      <c r="D237" t="s">
        <v>23</v>
      </c>
      <c r="E237" t="s">
        <v>120</v>
      </c>
      <c r="F237" t="str">
        <f>_xlfn.XLOOKUP(E237,'KING TON SALES__ RAW DATA'!$A$2:$A$271,'KING TON SALES__ RAW DATA'!$B$2:$B$271)</f>
        <v>13 AMPS DOUBLE SOCKET BENJOR</v>
      </c>
      <c r="G237" t="str">
        <f>_xlfn.XLOOKUP(E237,'KING TON SALES__ RAW DATA'!$A$2:$A$271,'KING TON SALES__ RAW DATA'!$D$2:$D$271)</f>
        <v>ELECTRICAL</v>
      </c>
      <c r="H237" s="6">
        <f>_xlfn.XLOOKUP(E237,'KING TON SALES__ RAW DATA'!$A$2:$A$271,'KING TON SALES__ RAW DATA'!$G$2:$G$271)</f>
        <v>2500</v>
      </c>
      <c r="I237">
        <v>17</v>
      </c>
      <c r="J237" s="6">
        <f>_xlfn.XLOOKUP(E237,'KING TON SALES__ RAW DATA'!$A$2:$A$271,'KING TON SALES__ RAW DATA'!$I$2:$I$271)</f>
        <v>5000</v>
      </c>
      <c r="K237" s="6">
        <f t="shared" si="9"/>
        <v>42500</v>
      </c>
      <c r="L237" s="6">
        <f t="shared" si="10"/>
        <v>85000</v>
      </c>
      <c r="M237" s="6">
        <f t="shared" si="11"/>
        <v>42500</v>
      </c>
      <c r="N237" t="str">
        <f>_xlfn.XLOOKUP(E237,'KING TON SALES__ RAW DATA'!$A$2:$A$271,'KING TON SALES__ RAW DATA'!$M$2:$M$271)</f>
        <v>POS</v>
      </c>
    </row>
    <row r="238" spans="1:14">
      <c r="A238" s="7">
        <v>6899</v>
      </c>
      <c r="B238" s="8">
        <v>46212</v>
      </c>
      <c r="C238" t="s">
        <v>52</v>
      </c>
      <c r="D238" t="s">
        <v>23</v>
      </c>
      <c r="E238" t="s">
        <v>50</v>
      </c>
      <c r="F238" t="str">
        <f>_xlfn.XLOOKUP(E238,'KING TON SALES__ RAW DATA'!$A$2:$A$271,'KING TON SALES__ RAW DATA'!$B$2:$B$271)</f>
        <v>HDMI (5m) WIRE</v>
      </c>
      <c r="G238" t="str">
        <f>_xlfn.XLOOKUP(E238,'KING TON SALES__ RAW DATA'!$A$2:$A$271,'KING TON SALES__ RAW DATA'!$D$2:$D$271)</f>
        <v>WIRE</v>
      </c>
      <c r="H238" s="6">
        <f>_xlfn.XLOOKUP(E238,'KING TON SALES__ RAW DATA'!$A$2:$A$271,'KING TON SALES__ RAW DATA'!$G$2:$G$271)</f>
        <v>1200</v>
      </c>
      <c r="I238">
        <v>24</v>
      </c>
      <c r="J238" s="6">
        <f>_xlfn.XLOOKUP(E238,'KING TON SALES__ RAW DATA'!$A$2:$A$271,'KING TON SALES__ RAW DATA'!$I$2:$I$271)</f>
        <v>2500</v>
      </c>
      <c r="K238" s="6">
        <f t="shared" si="9"/>
        <v>28800</v>
      </c>
      <c r="L238" s="6">
        <f t="shared" si="10"/>
        <v>60000</v>
      </c>
      <c r="M238" s="6">
        <f t="shared" si="11"/>
        <v>31200</v>
      </c>
      <c r="N238" t="str">
        <f>_xlfn.XLOOKUP(E238,'KING TON SALES__ RAW DATA'!$A$2:$A$271,'KING TON SALES__ RAW DATA'!$M$2:$M$271)</f>
        <v>CASH</v>
      </c>
    </row>
    <row r="239" spans="1:14">
      <c r="A239" s="7">
        <v>6900</v>
      </c>
      <c r="B239" s="8">
        <v>46165</v>
      </c>
      <c r="C239" t="s">
        <v>33</v>
      </c>
      <c r="D239" t="s">
        <v>23</v>
      </c>
      <c r="E239" t="s">
        <v>126</v>
      </c>
      <c r="F239" t="str">
        <f>_xlfn.XLOOKUP(E239,'KING TON SALES__ RAW DATA'!$A$2:$A$271,'KING TON SALES__ RAW DATA'!$B$2:$B$271)</f>
        <v>BIG GENERATOR PLUG HEAD</v>
      </c>
      <c r="G239" t="str">
        <f>_xlfn.XLOOKUP(E239,'KING TON SALES__ RAW DATA'!$A$2:$A$271,'KING TON SALES__ RAW DATA'!$D$2:$D$271)</f>
        <v>ELECTRICAL</v>
      </c>
      <c r="H239" s="6">
        <f>_xlfn.XLOOKUP(E239,'KING TON SALES__ RAW DATA'!$A$2:$A$271,'KING TON SALES__ RAW DATA'!$G$2:$G$271)</f>
        <v>200</v>
      </c>
      <c r="I239">
        <v>21</v>
      </c>
      <c r="J239" s="6">
        <f>_xlfn.XLOOKUP(E239,'KING TON SALES__ RAW DATA'!$A$2:$A$271,'KING TON SALES__ RAW DATA'!$I$2:$I$271)</f>
        <v>500</v>
      </c>
      <c r="K239" s="6">
        <f t="shared" si="9"/>
        <v>4200</v>
      </c>
      <c r="L239" s="6">
        <f t="shared" si="10"/>
        <v>10500</v>
      </c>
      <c r="M239" s="6">
        <f t="shared" si="11"/>
        <v>6300</v>
      </c>
      <c r="N239" t="str">
        <f>_xlfn.XLOOKUP(E239,'KING TON SALES__ RAW DATA'!$A$2:$A$271,'KING TON SALES__ RAW DATA'!$M$2:$M$271)</f>
        <v>POS</v>
      </c>
    </row>
    <row r="240" spans="1:14">
      <c r="A240" s="7">
        <v>6901</v>
      </c>
      <c r="B240" s="8">
        <v>46184</v>
      </c>
      <c r="C240" t="s">
        <v>43</v>
      </c>
      <c r="D240" t="s">
        <v>23</v>
      </c>
      <c r="E240" t="s">
        <v>75</v>
      </c>
      <c r="F240" t="str">
        <f>_xlfn.XLOOKUP(E240,'KING TON SALES__ RAW DATA'!$A$2:$A$271,'KING TON SALES__ RAW DATA'!$B$2:$B$271)</f>
        <v>BLUE 4K HDMI (3m) WIRE</v>
      </c>
      <c r="G240" t="str">
        <f>_xlfn.XLOOKUP(E240,'KING TON SALES__ RAW DATA'!$A$2:$A$271,'KING TON SALES__ RAW DATA'!$D$2:$D$271)</f>
        <v>WIRE</v>
      </c>
      <c r="H240" s="6">
        <f>_xlfn.XLOOKUP(E240,'KING TON SALES__ RAW DATA'!$A$2:$A$271,'KING TON SALES__ RAW DATA'!$G$2:$G$271)</f>
        <v>3000</v>
      </c>
      <c r="I240">
        <v>23</v>
      </c>
      <c r="J240" s="6">
        <f>_xlfn.XLOOKUP(E240,'KING TON SALES__ RAW DATA'!$A$2:$A$271,'KING TON SALES__ RAW DATA'!$I$2:$I$271)</f>
        <v>6000</v>
      </c>
      <c r="K240" s="6">
        <f t="shared" si="9"/>
        <v>69000</v>
      </c>
      <c r="L240" s="6">
        <f t="shared" si="10"/>
        <v>138000</v>
      </c>
      <c r="M240" s="6">
        <f t="shared" si="11"/>
        <v>69000</v>
      </c>
      <c r="N240" t="str">
        <f>_xlfn.XLOOKUP(E240,'KING TON SALES__ RAW DATA'!$A$2:$A$271,'KING TON SALES__ RAW DATA'!$M$2:$M$271)</f>
        <v>POS</v>
      </c>
    </row>
    <row r="241" spans="1:14">
      <c r="A241" s="7">
        <v>6902</v>
      </c>
      <c r="B241" s="8">
        <v>46192</v>
      </c>
      <c r="C241" t="s">
        <v>52</v>
      </c>
      <c r="D241" t="s">
        <v>18</v>
      </c>
      <c r="E241" t="s">
        <v>83</v>
      </c>
      <c r="F241" t="str">
        <f>_xlfn.XLOOKUP(E241,'KING TON SALES__ RAW DATA'!$A$2:$A$271,'KING TON SALES__ RAW DATA'!$B$2:$B$271)</f>
        <v>DC TO DC MALE (1.5m) WIRE</v>
      </c>
      <c r="G241" t="str">
        <f>_xlfn.XLOOKUP(E241,'KING TON SALES__ RAW DATA'!$A$2:$A$271,'KING TON SALES__ RAW DATA'!$D$2:$D$271)</f>
        <v>WIRE</v>
      </c>
      <c r="H241" s="6">
        <f>_xlfn.XLOOKUP(E241,'KING TON SALES__ RAW DATA'!$A$2:$A$271,'KING TON SALES__ RAW DATA'!$G$2:$G$271)</f>
        <v>500</v>
      </c>
      <c r="I241">
        <v>25</v>
      </c>
      <c r="J241" s="6">
        <f>_xlfn.XLOOKUP(E241,'KING TON SALES__ RAW DATA'!$A$2:$A$271,'KING TON SALES__ RAW DATA'!$I$2:$I$271)</f>
        <v>1000</v>
      </c>
      <c r="K241" s="6">
        <f t="shared" si="9"/>
        <v>12500</v>
      </c>
      <c r="L241" s="6">
        <f t="shared" si="10"/>
        <v>25000</v>
      </c>
      <c r="M241" s="6">
        <f t="shared" si="11"/>
        <v>12500</v>
      </c>
      <c r="N241" t="str">
        <f>_xlfn.XLOOKUP(E241,'KING TON SALES__ RAW DATA'!$A$2:$A$271,'KING TON SALES__ RAW DATA'!$M$2:$M$271)</f>
        <v>POS</v>
      </c>
    </row>
    <row r="242" spans="1:14">
      <c r="A242" s="7">
        <v>6903</v>
      </c>
      <c r="B242" s="8">
        <v>46158</v>
      </c>
      <c r="C242" t="s">
        <v>52</v>
      </c>
      <c r="D242" t="s">
        <v>23</v>
      </c>
      <c r="E242" t="s">
        <v>81</v>
      </c>
      <c r="F242" t="str">
        <f>_xlfn.XLOOKUP(E242,'KING TON SALES__ RAW DATA'!$A$2:$A$271,'KING TON SALES__ RAW DATA'!$B$2:$B$271)</f>
        <v>BLUE 4K HDMI (15m) WIRE</v>
      </c>
      <c r="G242" t="str">
        <f>_xlfn.XLOOKUP(E242,'KING TON SALES__ RAW DATA'!$A$2:$A$271,'KING TON SALES__ RAW DATA'!$D$2:$D$271)</f>
        <v>WIRE</v>
      </c>
      <c r="H242" s="6">
        <f>_xlfn.XLOOKUP(E242,'KING TON SALES__ RAW DATA'!$A$2:$A$271,'KING TON SALES__ RAW DATA'!$G$2:$G$271)</f>
        <v>7000</v>
      </c>
      <c r="I242">
        <v>17</v>
      </c>
      <c r="J242" s="6">
        <f>_xlfn.XLOOKUP(E242,'KING TON SALES__ RAW DATA'!$A$2:$A$271,'KING TON SALES__ RAW DATA'!$I$2:$I$271)</f>
        <v>15000</v>
      </c>
      <c r="K242" s="6">
        <f t="shared" si="9"/>
        <v>119000</v>
      </c>
      <c r="L242" s="6">
        <f t="shared" si="10"/>
        <v>255000</v>
      </c>
      <c r="M242" s="6">
        <f t="shared" si="11"/>
        <v>136000</v>
      </c>
      <c r="N242" t="str">
        <f>_xlfn.XLOOKUP(E242,'KING TON SALES__ RAW DATA'!$A$2:$A$271,'KING TON SALES__ RAW DATA'!$M$2:$M$271)</f>
        <v>POS</v>
      </c>
    </row>
    <row r="243" spans="1:14">
      <c r="A243" s="7">
        <v>6904</v>
      </c>
      <c r="B243" s="8">
        <v>46170</v>
      </c>
      <c r="C243" t="s">
        <v>36</v>
      </c>
      <c r="D243" t="s">
        <v>18</v>
      </c>
      <c r="E243" t="s">
        <v>160</v>
      </c>
      <c r="F243" t="str">
        <f>_xlfn.XLOOKUP(E243,'KING TON SALES__ RAW DATA'!$A$2:$A$271,'KING TON SALES__ RAW DATA'!$B$2:$B$271)</f>
        <v>RAYMAX AAA BATTERY</v>
      </c>
      <c r="G243" t="str">
        <f>_xlfn.XLOOKUP(E243,'KING TON SALES__ RAW DATA'!$A$2:$A$271,'KING TON SALES__ RAW DATA'!$D$2:$D$271)</f>
        <v>BATTERY</v>
      </c>
      <c r="H243" s="6">
        <f>_xlfn.XLOOKUP(E243,'KING TON SALES__ RAW DATA'!$A$2:$A$271,'KING TON SALES__ RAW DATA'!$G$2:$G$271)</f>
        <v>1000</v>
      </c>
      <c r="I243">
        <v>19</v>
      </c>
      <c r="J243" s="6">
        <f>_xlfn.XLOOKUP(E243,'KING TON SALES__ RAW DATA'!$A$2:$A$271,'KING TON SALES__ RAW DATA'!$I$2:$I$271)</f>
        <v>1500</v>
      </c>
      <c r="K243" s="6">
        <f t="shared" si="9"/>
        <v>19000</v>
      </c>
      <c r="L243" s="6">
        <f t="shared" si="10"/>
        <v>28500</v>
      </c>
      <c r="M243" s="6">
        <f t="shared" si="11"/>
        <v>9500</v>
      </c>
      <c r="N243" t="str">
        <f>_xlfn.XLOOKUP(E243,'KING TON SALES__ RAW DATA'!$A$2:$A$271,'KING TON SALES__ RAW DATA'!$M$2:$M$271)</f>
        <v>TRANSFER</v>
      </c>
    </row>
    <row r="244" spans="1:14">
      <c r="A244" s="7">
        <v>6905</v>
      </c>
      <c r="B244" s="8">
        <v>46174</v>
      </c>
      <c r="C244" t="s">
        <v>43</v>
      </c>
      <c r="D244" t="s">
        <v>23</v>
      </c>
      <c r="E244" t="s">
        <v>136</v>
      </c>
      <c r="F244" t="str">
        <f>_xlfn.XLOOKUP(E244,'KING TON SALES__ RAW DATA'!$A$2:$A$271,'KING TON SALES__ RAW DATA'!$B$2:$B$271)</f>
        <v>MULTI EXTENTION 6 MOUTH</v>
      </c>
      <c r="G244" t="str">
        <f>_xlfn.XLOOKUP(E244,'KING TON SALES__ RAW DATA'!$A$2:$A$271,'KING TON SALES__ RAW DATA'!$D$2:$D$271)</f>
        <v>ELECTRICAL</v>
      </c>
      <c r="H244" s="6">
        <f>_xlfn.XLOOKUP(E244,'KING TON SALES__ RAW DATA'!$A$2:$A$271,'KING TON SALES__ RAW DATA'!$G$2:$G$271)</f>
        <v>7000</v>
      </c>
      <c r="I244">
        <v>18</v>
      </c>
      <c r="J244" s="6">
        <f>_xlfn.XLOOKUP(E244,'KING TON SALES__ RAW DATA'!$A$2:$A$271,'KING TON SALES__ RAW DATA'!$I$2:$I$271)</f>
        <v>12000</v>
      </c>
      <c r="K244" s="6">
        <f t="shared" si="9"/>
        <v>126000</v>
      </c>
      <c r="L244" s="6">
        <f t="shared" si="10"/>
        <v>216000</v>
      </c>
      <c r="M244" s="6">
        <f t="shared" si="11"/>
        <v>90000</v>
      </c>
      <c r="N244" t="str">
        <f>_xlfn.XLOOKUP(E244,'KING TON SALES__ RAW DATA'!$A$2:$A$271,'KING TON SALES__ RAW DATA'!$M$2:$M$271)</f>
        <v>CASH</v>
      </c>
    </row>
    <row r="245" spans="1:14">
      <c r="A245" s="7">
        <v>6906</v>
      </c>
      <c r="B245" s="8">
        <v>46156</v>
      </c>
      <c r="C245" t="s">
        <v>43</v>
      </c>
      <c r="D245" t="s">
        <v>18</v>
      </c>
      <c r="E245" t="s">
        <v>166</v>
      </c>
      <c r="F245" t="str">
        <f>_xlfn.XLOOKUP(E245,'KING TON SALES__ RAW DATA'!$A$2:$A$271,'KING TON SALES__ RAW DATA'!$B$2:$B$271)</f>
        <v>PANASONIC AA BATTERY</v>
      </c>
      <c r="G245" t="str">
        <f>_xlfn.XLOOKUP(E245,'KING TON SALES__ RAW DATA'!$A$2:$A$271,'KING TON SALES__ RAW DATA'!$D$2:$D$271)</f>
        <v>BATTERY</v>
      </c>
      <c r="H245" s="6">
        <f>_xlfn.XLOOKUP(E245,'KING TON SALES__ RAW DATA'!$A$2:$A$271,'KING TON SALES__ RAW DATA'!$G$2:$G$271)</f>
        <v>1000</v>
      </c>
      <c r="I245">
        <v>20</v>
      </c>
      <c r="J245" s="6">
        <f>_xlfn.XLOOKUP(E245,'KING TON SALES__ RAW DATA'!$A$2:$A$271,'KING TON SALES__ RAW DATA'!$I$2:$I$271)</f>
        <v>1500</v>
      </c>
      <c r="K245" s="6">
        <f t="shared" si="9"/>
        <v>20000</v>
      </c>
      <c r="L245" s="6">
        <f t="shared" si="10"/>
        <v>30000</v>
      </c>
      <c r="M245" s="6">
        <f t="shared" si="11"/>
        <v>10000</v>
      </c>
      <c r="N245" t="str">
        <f>_xlfn.XLOOKUP(E245,'KING TON SALES__ RAW DATA'!$A$2:$A$271,'KING TON SALES__ RAW DATA'!$M$2:$M$271)</f>
        <v>POS</v>
      </c>
    </row>
    <row r="246" spans="1:14">
      <c r="A246" s="7">
        <v>6907</v>
      </c>
      <c r="B246" s="8">
        <v>46198</v>
      </c>
      <c r="C246" t="s">
        <v>19</v>
      </c>
      <c r="D246" t="s">
        <v>23</v>
      </c>
      <c r="E246" t="s">
        <v>59</v>
      </c>
      <c r="F246" t="str">
        <f>_xlfn.XLOOKUP(E246,'KING TON SALES__ RAW DATA'!$A$2:$A$271,'KING TON SALES__ RAW DATA'!$B$2:$B$271)</f>
        <v>HDMI (30m) WIRE</v>
      </c>
      <c r="G246" t="str">
        <f>_xlfn.XLOOKUP(E246,'KING TON SALES__ RAW DATA'!$A$2:$A$271,'KING TON SALES__ RAW DATA'!$D$2:$D$271)</f>
        <v>WIRE</v>
      </c>
      <c r="H246" s="6">
        <f>_xlfn.XLOOKUP(E246,'KING TON SALES__ RAW DATA'!$A$2:$A$271,'KING TON SALES__ RAW DATA'!$G$2:$G$271)</f>
        <v>10000</v>
      </c>
      <c r="I246">
        <v>20</v>
      </c>
      <c r="J246" s="6">
        <f>_xlfn.XLOOKUP(E246,'KING TON SALES__ RAW DATA'!$A$2:$A$271,'KING TON SALES__ RAW DATA'!$I$2:$I$271)</f>
        <v>15000</v>
      </c>
      <c r="K246" s="6">
        <f t="shared" si="9"/>
        <v>200000</v>
      </c>
      <c r="L246" s="6">
        <f t="shared" si="10"/>
        <v>300000</v>
      </c>
      <c r="M246" s="6">
        <f t="shared" si="11"/>
        <v>100000</v>
      </c>
      <c r="N246" t="str">
        <f>_xlfn.XLOOKUP(E246,'KING TON SALES__ RAW DATA'!$A$2:$A$271,'KING TON SALES__ RAW DATA'!$M$2:$M$271)</f>
        <v>TRANSFER</v>
      </c>
    </row>
    <row r="247" spans="1:14">
      <c r="A247" s="7">
        <v>6908</v>
      </c>
      <c r="B247" s="8">
        <v>46165</v>
      </c>
      <c r="C247" t="s">
        <v>19</v>
      </c>
      <c r="D247" t="s">
        <v>18</v>
      </c>
      <c r="E247" t="s">
        <v>138</v>
      </c>
      <c r="F247" t="str">
        <f>_xlfn.XLOOKUP(E247,'KING TON SALES__ RAW DATA'!$A$2:$A$271,'KING TON SALES__ RAW DATA'!$B$2:$B$271)</f>
        <v>MULTI (APC) EXTENTION 6 MOUTH</v>
      </c>
      <c r="G247" t="str">
        <f>_xlfn.XLOOKUP(E247,'KING TON SALES__ RAW DATA'!$A$2:$A$271,'KING TON SALES__ RAW DATA'!$D$2:$D$271)</f>
        <v>ELECTRICAL</v>
      </c>
      <c r="H247" s="6">
        <f>_xlfn.XLOOKUP(E247,'KING TON SALES__ RAW DATA'!$A$2:$A$271,'KING TON SALES__ RAW DATA'!$G$2:$G$271)</f>
        <v>7000</v>
      </c>
      <c r="I247">
        <v>18</v>
      </c>
      <c r="J247" s="6">
        <f>_xlfn.XLOOKUP(E247,'KING TON SALES__ RAW DATA'!$A$2:$A$271,'KING TON SALES__ RAW DATA'!$I$2:$I$271)</f>
        <v>12000</v>
      </c>
      <c r="K247" s="6">
        <f t="shared" si="9"/>
        <v>126000</v>
      </c>
      <c r="L247" s="6">
        <f t="shared" si="10"/>
        <v>216000</v>
      </c>
      <c r="M247" s="6">
        <f t="shared" si="11"/>
        <v>90000</v>
      </c>
      <c r="N247" t="str">
        <f>_xlfn.XLOOKUP(E247,'KING TON SALES__ RAW DATA'!$A$2:$A$271,'KING TON SALES__ RAW DATA'!$M$2:$M$271)</f>
        <v>CASH</v>
      </c>
    </row>
    <row r="248" spans="1:14">
      <c r="A248" s="7">
        <v>6909</v>
      </c>
      <c r="B248" s="8">
        <v>46192</v>
      </c>
      <c r="C248" t="s">
        <v>43</v>
      </c>
      <c r="D248" t="s">
        <v>23</v>
      </c>
      <c r="E248" t="s">
        <v>75</v>
      </c>
      <c r="F248" t="str">
        <f>_xlfn.XLOOKUP(E248,'KING TON SALES__ RAW DATA'!$A$2:$A$271,'KING TON SALES__ RAW DATA'!$B$2:$B$271)</f>
        <v>BLUE 4K HDMI (3m) WIRE</v>
      </c>
      <c r="G248" t="str">
        <f>_xlfn.XLOOKUP(E248,'KING TON SALES__ RAW DATA'!$A$2:$A$271,'KING TON SALES__ RAW DATA'!$D$2:$D$271)</f>
        <v>WIRE</v>
      </c>
      <c r="H248" s="6">
        <f>_xlfn.XLOOKUP(E248,'KING TON SALES__ RAW DATA'!$A$2:$A$271,'KING TON SALES__ RAW DATA'!$G$2:$G$271)</f>
        <v>3000</v>
      </c>
      <c r="I248">
        <v>18</v>
      </c>
      <c r="J248" s="6">
        <f>_xlfn.XLOOKUP(E248,'KING TON SALES__ RAW DATA'!$A$2:$A$271,'KING TON SALES__ RAW DATA'!$I$2:$I$271)</f>
        <v>6000</v>
      </c>
      <c r="K248" s="6">
        <f t="shared" si="9"/>
        <v>54000</v>
      </c>
      <c r="L248" s="6">
        <f t="shared" si="10"/>
        <v>108000</v>
      </c>
      <c r="M248" s="6">
        <f t="shared" si="11"/>
        <v>54000</v>
      </c>
      <c r="N248" t="str">
        <f>_xlfn.XLOOKUP(E248,'KING TON SALES__ RAW DATA'!$A$2:$A$271,'KING TON SALES__ RAW DATA'!$M$2:$M$271)</f>
        <v>POS</v>
      </c>
    </row>
    <row r="249" spans="1:14">
      <c r="A249" s="7">
        <v>6910</v>
      </c>
      <c r="B249" s="8">
        <v>46183</v>
      </c>
      <c r="C249" t="s">
        <v>43</v>
      </c>
      <c r="D249" t="s">
        <v>18</v>
      </c>
      <c r="E249" t="s">
        <v>166</v>
      </c>
      <c r="F249" t="str">
        <f>_xlfn.XLOOKUP(E249,'KING TON SALES__ RAW DATA'!$A$2:$A$271,'KING TON SALES__ RAW DATA'!$B$2:$B$271)</f>
        <v>PANASONIC AA BATTERY</v>
      </c>
      <c r="G249" t="str">
        <f>_xlfn.XLOOKUP(E249,'KING TON SALES__ RAW DATA'!$A$2:$A$271,'KING TON SALES__ RAW DATA'!$D$2:$D$271)</f>
        <v>BATTERY</v>
      </c>
      <c r="H249" s="6">
        <f>_xlfn.XLOOKUP(E249,'KING TON SALES__ RAW DATA'!$A$2:$A$271,'KING TON SALES__ RAW DATA'!$G$2:$G$271)</f>
        <v>1000</v>
      </c>
      <c r="I249">
        <v>25</v>
      </c>
      <c r="J249" s="6">
        <f>_xlfn.XLOOKUP(E249,'KING TON SALES__ RAW DATA'!$A$2:$A$271,'KING TON SALES__ RAW DATA'!$I$2:$I$271)</f>
        <v>1500</v>
      </c>
      <c r="K249" s="6">
        <f t="shared" si="9"/>
        <v>25000</v>
      </c>
      <c r="L249" s="6">
        <f t="shared" si="10"/>
        <v>37500</v>
      </c>
      <c r="M249" s="6">
        <f t="shared" si="11"/>
        <v>12500</v>
      </c>
      <c r="N249" t="str">
        <f>_xlfn.XLOOKUP(E249,'KING TON SALES__ RAW DATA'!$A$2:$A$271,'KING TON SALES__ RAW DATA'!$M$2:$M$271)</f>
        <v>POS</v>
      </c>
    </row>
    <row r="250" spans="1:14">
      <c r="A250" s="7">
        <v>6911</v>
      </c>
      <c r="B250" s="8">
        <v>46184</v>
      </c>
      <c r="C250" t="s">
        <v>33</v>
      </c>
      <c r="D250" t="s">
        <v>23</v>
      </c>
      <c r="E250" t="s">
        <v>31</v>
      </c>
      <c r="F250" t="str">
        <f>_xlfn.XLOOKUP(E250,'KING TON SALES__ RAW DATA'!$A$2:$A$271,'KING TON SALES__ RAW DATA'!$B$2:$B$271)</f>
        <v>AUX TO JACK (1.5m) WIRE</v>
      </c>
      <c r="G250" t="str">
        <f>_xlfn.XLOOKUP(E250,'KING TON SALES__ RAW DATA'!$A$2:$A$271,'KING TON SALES__ RAW DATA'!$D$2:$D$271)</f>
        <v>WIRE</v>
      </c>
      <c r="H250" s="6">
        <f>_xlfn.XLOOKUP(E250,'KING TON SALES__ RAW DATA'!$A$2:$A$271,'KING TON SALES__ RAW DATA'!$G$2:$G$271)</f>
        <v>600</v>
      </c>
      <c r="I250">
        <v>25</v>
      </c>
      <c r="J250" s="6">
        <f>_xlfn.XLOOKUP(E250,'KING TON SALES__ RAW DATA'!$A$2:$A$271,'KING TON SALES__ RAW DATA'!$I$2:$I$271)</f>
        <v>1000</v>
      </c>
      <c r="K250" s="6">
        <f t="shared" si="9"/>
        <v>15000</v>
      </c>
      <c r="L250" s="6">
        <f t="shared" si="10"/>
        <v>25000</v>
      </c>
      <c r="M250" s="6">
        <f t="shared" si="11"/>
        <v>10000</v>
      </c>
      <c r="N250" t="str">
        <f>_xlfn.XLOOKUP(E250,'KING TON SALES__ RAW DATA'!$A$2:$A$271,'KING TON SALES__ RAW DATA'!$M$2:$M$271)</f>
        <v>TRANSFER</v>
      </c>
    </row>
    <row r="251" spans="1:14">
      <c r="A251" s="7">
        <v>6912</v>
      </c>
      <c r="B251" s="8">
        <v>46188</v>
      </c>
      <c r="C251" t="s">
        <v>19</v>
      </c>
      <c r="D251" t="s">
        <v>18</v>
      </c>
      <c r="E251" t="s">
        <v>156</v>
      </c>
      <c r="F251" t="str">
        <f>_xlfn.XLOOKUP(E251,'KING TON SALES__ RAW DATA'!$A$2:$A$271,'KING TON SALES__ RAW DATA'!$B$2:$B$271)</f>
        <v>POWER PEAK 9v BATTERY</v>
      </c>
      <c r="G251" t="str">
        <f>_xlfn.XLOOKUP(E251,'KING TON SALES__ RAW DATA'!$A$2:$A$271,'KING TON SALES__ RAW DATA'!$D$2:$D$271)</f>
        <v>BATTERY</v>
      </c>
      <c r="H251" s="6">
        <f>_xlfn.XLOOKUP(E251,'KING TON SALES__ RAW DATA'!$A$2:$A$271,'KING TON SALES__ RAW DATA'!$G$2:$G$271)</f>
        <v>250</v>
      </c>
      <c r="I251">
        <v>23</v>
      </c>
      <c r="J251" s="6">
        <f>_xlfn.XLOOKUP(E251,'KING TON SALES__ RAW DATA'!$A$2:$A$271,'KING TON SALES__ RAW DATA'!$I$2:$I$271)</f>
        <v>500</v>
      </c>
      <c r="K251" s="6">
        <f t="shared" si="9"/>
        <v>5750</v>
      </c>
      <c r="L251" s="6">
        <f t="shared" si="10"/>
        <v>11500</v>
      </c>
      <c r="M251" s="6">
        <f t="shared" si="11"/>
        <v>5750</v>
      </c>
      <c r="N251" t="str">
        <f>_xlfn.XLOOKUP(E251,'KING TON SALES__ RAW DATA'!$A$2:$A$271,'KING TON SALES__ RAW DATA'!$M$2:$M$271)</f>
        <v>CASH</v>
      </c>
    </row>
    <row r="252" spans="1:14">
      <c r="A252" s="7">
        <v>6913</v>
      </c>
      <c r="B252" s="8">
        <v>46151</v>
      </c>
      <c r="C252" t="s">
        <v>52</v>
      </c>
      <c r="D252" t="s">
        <v>23</v>
      </c>
      <c r="E252" t="s">
        <v>81</v>
      </c>
      <c r="F252" t="str">
        <f>_xlfn.XLOOKUP(E252,'KING TON SALES__ RAW DATA'!$A$2:$A$271,'KING TON SALES__ RAW DATA'!$B$2:$B$271)</f>
        <v>BLUE 4K HDMI (15m) WIRE</v>
      </c>
      <c r="G252" t="str">
        <f>_xlfn.XLOOKUP(E252,'KING TON SALES__ RAW DATA'!$A$2:$A$271,'KING TON SALES__ RAW DATA'!$D$2:$D$271)</f>
        <v>WIRE</v>
      </c>
      <c r="H252" s="6">
        <f>_xlfn.XLOOKUP(E252,'KING TON SALES__ RAW DATA'!$A$2:$A$271,'KING TON SALES__ RAW DATA'!$G$2:$G$271)</f>
        <v>7000</v>
      </c>
      <c r="I252">
        <v>19</v>
      </c>
      <c r="J252" s="6">
        <f>_xlfn.XLOOKUP(E252,'KING TON SALES__ RAW DATA'!$A$2:$A$271,'KING TON SALES__ RAW DATA'!$I$2:$I$271)</f>
        <v>15000</v>
      </c>
      <c r="K252" s="6">
        <f t="shared" si="9"/>
        <v>133000</v>
      </c>
      <c r="L252" s="6">
        <f t="shared" si="10"/>
        <v>285000</v>
      </c>
      <c r="M252" s="6">
        <f t="shared" si="11"/>
        <v>152000</v>
      </c>
      <c r="N252" t="str">
        <f>_xlfn.XLOOKUP(E252,'KING TON SALES__ RAW DATA'!$A$2:$A$271,'KING TON SALES__ RAW DATA'!$M$2:$M$271)</f>
        <v>POS</v>
      </c>
    </row>
    <row r="253" spans="1:14">
      <c r="A253" s="7">
        <v>6914</v>
      </c>
      <c r="B253" s="8">
        <v>46168</v>
      </c>
      <c r="C253" t="s">
        <v>43</v>
      </c>
      <c r="D253" t="s">
        <v>23</v>
      </c>
      <c r="E253" t="s">
        <v>136</v>
      </c>
      <c r="F253" t="str">
        <f>_xlfn.XLOOKUP(E253,'KING TON SALES__ RAW DATA'!$A$2:$A$271,'KING TON SALES__ RAW DATA'!$B$2:$B$271)</f>
        <v>MULTI EXTENTION 6 MOUTH</v>
      </c>
      <c r="G253" t="str">
        <f>_xlfn.XLOOKUP(E253,'KING TON SALES__ RAW DATA'!$A$2:$A$271,'KING TON SALES__ RAW DATA'!$D$2:$D$271)</f>
        <v>ELECTRICAL</v>
      </c>
      <c r="H253" s="6">
        <f>_xlfn.XLOOKUP(E253,'KING TON SALES__ RAW DATA'!$A$2:$A$271,'KING TON SALES__ RAW DATA'!$G$2:$G$271)</f>
        <v>7000</v>
      </c>
      <c r="I253">
        <v>24</v>
      </c>
      <c r="J253" s="6">
        <f>_xlfn.XLOOKUP(E253,'KING TON SALES__ RAW DATA'!$A$2:$A$271,'KING TON SALES__ RAW DATA'!$I$2:$I$271)</f>
        <v>12000</v>
      </c>
      <c r="K253" s="6">
        <f t="shared" si="9"/>
        <v>168000</v>
      </c>
      <c r="L253" s="6">
        <f t="shared" si="10"/>
        <v>288000</v>
      </c>
      <c r="M253" s="6">
        <f t="shared" si="11"/>
        <v>120000</v>
      </c>
      <c r="N253" t="str">
        <f>_xlfn.XLOOKUP(E253,'KING TON SALES__ RAW DATA'!$A$2:$A$271,'KING TON SALES__ RAW DATA'!$M$2:$M$271)</f>
        <v>CASH</v>
      </c>
    </row>
    <row r="254" spans="1:14">
      <c r="A254" s="7">
        <v>6915</v>
      </c>
      <c r="B254" s="8">
        <v>46195</v>
      </c>
      <c r="C254" t="s">
        <v>33</v>
      </c>
      <c r="D254" t="s">
        <v>23</v>
      </c>
      <c r="E254" t="s">
        <v>126</v>
      </c>
      <c r="F254" t="str">
        <f>_xlfn.XLOOKUP(E254,'KING TON SALES__ RAW DATA'!$A$2:$A$271,'KING TON SALES__ RAW DATA'!$B$2:$B$271)</f>
        <v>BIG GENERATOR PLUG HEAD</v>
      </c>
      <c r="G254" t="str">
        <f>_xlfn.XLOOKUP(E254,'KING TON SALES__ RAW DATA'!$A$2:$A$271,'KING TON SALES__ RAW DATA'!$D$2:$D$271)</f>
        <v>ELECTRICAL</v>
      </c>
      <c r="H254" s="6">
        <f>_xlfn.XLOOKUP(E254,'KING TON SALES__ RAW DATA'!$A$2:$A$271,'KING TON SALES__ RAW DATA'!$G$2:$G$271)</f>
        <v>200</v>
      </c>
      <c r="I254">
        <v>20</v>
      </c>
      <c r="J254" s="6">
        <f>_xlfn.XLOOKUP(E254,'KING TON SALES__ RAW DATA'!$A$2:$A$271,'KING TON SALES__ RAW DATA'!$I$2:$I$271)</f>
        <v>500</v>
      </c>
      <c r="K254" s="6">
        <f t="shared" si="9"/>
        <v>4000</v>
      </c>
      <c r="L254" s="6">
        <f t="shared" si="10"/>
        <v>10000</v>
      </c>
      <c r="M254" s="6">
        <f t="shared" si="11"/>
        <v>6000</v>
      </c>
      <c r="N254" t="str">
        <f>_xlfn.XLOOKUP(E254,'KING TON SALES__ RAW DATA'!$A$2:$A$271,'KING TON SALES__ RAW DATA'!$M$2:$M$271)</f>
        <v>POS</v>
      </c>
    </row>
    <row r="255" spans="1:14">
      <c r="A255" s="7">
        <v>6916</v>
      </c>
      <c r="B255" s="8">
        <v>46188</v>
      </c>
      <c r="C255" t="s">
        <v>19</v>
      </c>
      <c r="D255" t="s">
        <v>23</v>
      </c>
      <c r="E255" t="s">
        <v>162</v>
      </c>
      <c r="F255" t="str">
        <f>_xlfn.XLOOKUP(E255,'KING TON SALES__ RAW DATA'!$A$2:$A$271,'KING TON SALES__ RAW DATA'!$B$2:$B$271)</f>
        <v>TIGER HEAD AA BATTERY</v>
      </c>
      <c r="G255" t="str">
        <f>_xlfn.XLOOKUP(E255,'KING TON SALES__ RAW DATA'!$A$2:$A$271,'KING TON SALES__ RAW DATA'!$D$2:$D$271)</f>
        <v>BATTERY</v>
      </c>
      <c r="H255" s="6">
        <f>_xlfn.XLOOKUP(E255,'KING TON SALES__ RAW DATA'!$A$2:$A$271,'KING TON SALES__ RAW DATA'!$G$2:$G$271)</f>
        <v>1000</v>
      </c>
      <c r="I255">
        <v>23</v>
      </c>
      <c r="J255" s="6">
        <f>_xlfn.XLOOKUP(E255,'KING TON SALES__ RAW DATA'!$A$2:$A$271,'KING TON SALES__ RAW DATA'!$I$2:$I$271)</f>
        <v>1500</v>
      </c>
      <c r="K255" s="6">
        <f t="shared" si="9"/>
        <v>23000</v>
      </c>
      <c r="L255" s="6">
        <f t="shared" si="10"/>
        <v>34500</v>
      </c>
      <c r="M255" s="6">
        <f t="shared" si="11"/>
        <v>11500</v>
      </c>
      <c r="N255" t="str">
        <f>_xlfn.XLOOKUP(E255,'KING TON SALES__ RAW DATA'!$A$2:$A$271,'KING TON SALES__ RAW DATA'!$M$2:$M$271)</f>
        <v>POS</v>
      </c>
    </row>
    <row r="256" spans="1:14">
      <c r="A256" s="7">
        <v>6917</v>
      </c>
      <c r="B256" s="8">
        <v>46148</v>
      </c>
      <c r="C256" t="s">
        <v>33</v>
      </c>
      <c r="D256" t="s">
        <v>23</v>
      </c>
      <c r="E256" t="s">
        <v>219</v>
      </c>
      <c r="F256" t="str">
        <f>_xlfn.XLOOKUP(E256,'KING TON SALES__ RAW DATA'!$A$2:$A$271,'KING TON SALES__ RAW DATA'!$B$2:$B$271)</f>
        <v>AVS 30 AMPS SURGE</v>
      </c>
      <c r="G256" t="str">
        <f>_xlfn.XLOOKUP(E256,'KING TON SALES__ RAW DATA'!$A$2:$A$271,'KING TON SALES__ RAW DATA'!$D$2:$D$271)</f>
        <v>SURGE</v>
      </c>
      <c r="H256" s="6">
        <f>_xlfn.XLOOKUP(E256,'KING TON SALES__ RAW DATA'!$A$2:$A$271,'KING TON SALES__ RAW DATA'!$G$2:$G$271)</f>
        <v>5000</v>
      </c>
      <c r="I256">
        <v>19</v>
      </c>
      <c r="J256" s="6">
        <f>_xlfn.XLOOKUP(E256,'KING TON SALES__ RAW DATA'!$A$2:$A$271,'KING TON SALES__ RAW DATA'!$I$2:$I$271)</f>
        <v>15000</v>
      </c>
      <c r="K256" s="6">
        <f t="shared" si="9"/>
        <v>95000</v>
      </c>
      <c r="L256" s="6">
        <f t="shared" si="10"/>
        <v>285000</v>
      </c>
      <c r="M256" s="6">
        <f t="shared" si="11"/>
        <v>190000</v>
      </c>
      <c r="N256" t="str">
        <f>_xlfn.XLOOKUP(E256,'KING TON SALES__ RAW DATA'!$A$2:$A$271,'KING TON SALES__ RAW DATA'!$M$2:$M$271)</f>
        <v>POS</v>
      </c>
    </row>
    <row r="257" spans="1:14">
      <c r="A257" s="7">
        <v>6918</v>
      </c>
      <c r="B257" s="8">
        <v>46201</v>
      </c>
      <c r="C257" t="s">
        <v>19</v>
      </c>
      <c r="D257" t="s">
        <v>18</v>
      </c>
      <c r="E257" t="s">
        <v>217</v>
      </c>
      <c r="F257" t="str">
        <f>_xlfn.XLOOKUP(E257,'KING TON SALES__ RAW DATA'!$A$2:$A$271,'KING TON SALES__ RAW DATA'!$B$2:$B$271)</f>
        <v>AVS 20 AMPS SURGE</v>
      </c>
      <c r="G257" t="str">
        <f>_xlfn.XLOOKUP(E257,'KING TON SALES__ RAW DATA'!$A$2:$A$271,'KING TON SALES__ RAW DATA'!$D$2:$D$271)</f>
        <v>SURGE</v>
      </c>
      <c r="H257" s="6">
        <f>_xlfn.XLOOKUP(E257,'KING TON SALES__ RAW DATA'!$A$2:$A$271,'KING TON SALES__ RAW DATA'!$G$2:$G$271)</f>
        <v>5000</v>
      </c>
      <c r="I257">
        <v>19</v>
      </c>
      <c r="J257" s="6">
        <f>_xlfn.XLOOKUP(E257,'KING TON SALES__ RAW DATA'!$A$2:$A$271,'KING TON SALES__ RAW DATA'!$I$2:$I$271)</f>
        <v>16000</v>
      </c>
      <c r="K257" s="6">
        <f t="shared" si="9"/>
        <v>95000</v>
      </c>
      <c r="L257" s="6">
        <f t="shared" si="10"/>
        <v>304000</v>
      </c>
      <c r="M257" s="6">
        <f t="shared" si="11"/>
        <v>209000</v>
      </c>
      <c r="N257" t="str">
        <f>_xlfn.XLOOKUP(E257,'KING TON SALES__ RAW DATA'!$A$2:$A$271,'KING TON SALES__ RAW DATA'!$M$2:$M$271)</f>
        <v>POS</v>
      </c>
    </row>
    <row r="258" spans="1:14">
      <c r="A258" s="7">
        <v>6919</v>
      </c>
      <c r="B258" s="8">
        <v>46187</v>
      </c>
      <c r="C258" t="s">
        <v>33</v>
      </c>
      <c r="D258" t="s">
        <v>23</v>
      </c>
      <c r="E258" t="s">
        <v>158</v>
      </c>
      <c r="F258" t="str">
        <f>_xlfn.XLOOKUP(E258,'KING TON SALES__ RAW DATA'!$A$2:$A$271,'KING TON SALES__ RAW DATA'!$B$2:$B$271)</f>
        <v>RAYMAX AA BATTERY</v>
      </c>
      <c r="G258" t="str">
        <f>_xlfn.XLOOKUP(E258,'KING TON SALES__ RAW DATA'!$A$2:$A$271,'KING TON SALES__ RAW DATA'!$D$2:$D$271)</f>
        <v>BATTERY</v>
      </c>
      <c r="H258" s="6">
        <f>_xlfn.XLOOKUP(E258,'KING TON SALES__ RAW DATA'!$A$2:$A$271,'KING TON SALES__ RAW DATA'!$G$2:$G$271)</f>
        <v>1000</v>
      </c>
      <c r="I258">
        <v>17</v>
      </c>
      <c r="J258" s="6">
        <f>_xlfn.XLOOKUP(E258,'KING TON SALES__ RAW DATA'!$A$2:$A$271,'KING TON SALES__ RAW DATA'!$I$2:$I$271)</f>
        <v>1500</v>
      </c>
      <c r="K258" s="6">
        <f t="shared" si="9"/>
        <v>17000</v>
      </c>
      <c r="L258" s="6">
        <f t="shared" si="10"/>
        <v>25500</v>
      </c>
      <c r="M258" s="6">
        <f t="shared" si="11"/>
        <v>8500</v>
      </c>
      <c r="N258" t="str">
        <f>_xlfn.XLOOKUP(E258,'KING TON SALES__ RAW DATA'!$A$2:$A$271,'KING TON SALES__ RAW DATA'!$M$2:$M$271)</f>
        <v>POS</v>
      </c>
    </row>
    <row r="259" spans="1:14">
      <c r="A259" s="7">
        <v>6920</v>
      </c>
      <c r="B259" s="8">
        <v>46194</v>
      </c>
      <c r="C259" t="s">
        <v>43</v>
      </c>
      <c r="D259" t="s">
        <v>23</v>
      </c>
      <c r="E259" t="s">
        <v>136</v>
      </c>
      <c r="F259" t="str">
        <f>_xlfn.XLOOKUP(E259,'KING TON SALES__ RAW DATA'!$A$2:$A$271,'KING TON SALES__ RAW DATA'!$B$2:$B$271)</f>
        <v>MULTI EXTENTION 6 MOUTH</v>
      </c>
      <c r="G259" t="str">
        <f>_xlfn.XLOOKUP(E259,'KING TON SALES__ RAW DATA'!$A$2:$A$271,'KING TON SALES__ RAW DATA'!$D$2:$D$271)</f>
        <v>ELECTRICAL</v>
      </c>
      <c r="H259" s="6">
        <f>_xlfn.XLOOKUP(E259,'KING TON SALES__ RAW DATA'!$A$2:$A$271,'KING TON SALES__ RAW DATA'!$G$2:$G$271)</f>
        <v>7000</v>
      </c>
      <c r="I259">
        <v>21</v>
      </c>
      <c r="J259" s="6">
        <f>_xlfn.XLOOKUP(E259,'KING TON SALES__ RAW DATA'!$A$2:$A$271,'KING TON SALES__ RAW DATA'!$I$2:$I$271)</f>
        <v>12000</v>
      </c>
      <c r="K259" s="6">
        <f t="shared" ref="K259:K301" si="12">H259*I259</f>
        <v>147000</v>
      </c>
      <c r="L259" s="6">
        <f t="shared" ref="L259:L301" si="13">J259*I259</f>
        <v>252000</v>
      </c>
      <c r="M259" s="6">
        <f t="shared" ref="M259:M301" si="14">L259-K259</f>
        <v>105000</v>
      </c>
      <c r="N259" t="str">
        <f>_xlfn.XLOOKUP(E259,'KING TON SALES__ RAW DATA'!$A$2:$A$271,'KING TON SALES__ RAW DATA'!$M$2:$M$271)</f>
        <v>CASH</v>
      </c>
    </row>
    <row r="260" spans="1:14">
      <c r="A260" s="7">
        <v>6921</v>
      </c>
      <c r="B260" s="8">
        <v>46191</v>
      </c>
      <c r="C260" t="s">
        <v>52</v>
      </c>
      <c r="D260" t="s">
        <v>18</v>
      </c>
      <c r="E260" t="s">
        <v>176</v>
      </c>
      <c r="F260" t="str">
        <f>_xlfn.XLOOKUP(E260,'KING TON SALES__ RAW DATA'!$A$2:$A$271,'KING TON SALES__ RAW DATA'!$B$2:$B$271)</f>
        <v>7.4V LITHIUM 3 IN 1</v>
      </c>
      <c r="G260" t="str">
        <f>_xlfn.XLOOKUP(E260,'KING TON SALES__ RAW DATA'!$A$2:$A$271,'KING TON SALES__ RAW DATA'!$D$2:$D$271)</f>
        <v>BATTERY</v>
      </c>
      <c r="H260" s="6">
        <f>_xlfn.XLOOKUP(E260,'KING TON SALES__ RAW DATA'!$A$2:$A$271,'KING TON SALES__ RAW DATA'!$G$2:$G$271)</f>
        <v>2500</v>
      </c>
      <c r="I260">
        <v>22</v>
      </c>
      <c r="J260" s="6">
        <f>_xlfn.XLOOKUP(E260,'KING TON SALES__ RAW DATA'!$A$2:$A$271,'KING TON SALES__ RAW DATA'!$I$2:$I$271)</f>
        <v>4000</v>
      </c>
      <c r="K260" s="6">
        <f t="shared" si="12"/>
        <v>55000</v>
      </c>
      <c r="L260" s="6">
        <f t="shared" si="13"/>
        <v>88000</v>
      </c>
      <c r="M260" s="6">
        <f t="shared" si="14"/>
        <v>33000</v>
      </c>
      <c r="N260" t="str">
        <f>_xlfn.XLOOKUP(E260,'KING TON SALES__ RAW DATA'!$A$2:$A$271,'KING TON SALES__ RAW DATA'!$M$2:$M$271)</f>
        <v>POS</v>
      </c>
    </row>
    <row r="261" spans="1:14">
      <c r="A261" s="7">
        <v>6922</v>
      </c>
      <c r="B261" s="8">
        <v>46176</v>
      </c>
      <c r="C261" t="s">
        <v>19</v>
      </c>
      <c r="D261" t="s">
        <v>18</v>
      </c>
      <c r="E261" t="s">
        <v>217</v>
      </c>
      <c r="F261" t="str">
        <f>_xlfn.XLOOKUP(E261,'KING TON SALES__ RAW DATA'!$A$2:$A$271,'KING TON SALES__ RAW DATA'!$B$2:$B$271)</f>
        <v>AVS 20 AMPS SURGE</v>
      </c>
      <c r="G261" t="str">
        <f>_xlfn.XLOOKUP(E261,'KING TON SALES__ RAW DATA'!$A$2:$A$271,'KING TON SALES__ RAW DATA'!$D$2:$D$271)</f>
        <v>SURGE</v>
      </c>
      <c r="H261" s="6">
        <f>_xlfn.XLOOKUP(E261,'KING TON SALES__ RAW DATA'!$A$2:$A$271,'KING TON SALES__ RAW DATA'!$G$2:$G$271)</f>
        <v>5000</v>
      </c>
      <c r="I261">
        <v>25</v>
      </c>
      <c r="J261" s="6">
        <f>_xlfn.XLOOKUP(E261,'KING TON SALES__ RAW DATA'!$A$2:$A$271,'KING TON SALES__ RAW DATA'!$I$2:$I$271)</f>
        <v>16000</v>
      </c>
      <c r="K261" s="6">
        <f t="shared" si="12"/>
        <v>125000</v>
      </c>
      <c r="L261" s="6">
        <f t="shared" si="13"/>
        <v>400000</v>
      </c>
      <c r="M261" s="6">
        <f t="shared" si="14"/>
        <v>275000</v>
      </c>
      <c r="N261" t="str">
        <f>_xlfn.XLOOKUP(E261,'KING TON SALES__ RAW DATA'!$A$2:$A$271,'KING TON SALES__ RAW DATA'!$M$2:$M$271)</f>
        <v>POS</v>
      </c>
    </row>
    <row r="262" spans="1:14">
      <c r="A262" s="7">
        <v>6923</v>
      </c>
      <c r="B262" s="8">
        <v>46198</v>
      </c>
      <c r="C262" t="s">
        <v>33</v>
      </c>
      <c r="D262" t="s">
        <v>23</v>
      </c>
      <c r="E262" t="s">
        <v>233</v>
      </c>
      <c r="F262" t="str">
        <f>_xlfn.XLOOKUP(E262,'KING TON SALES__ RAW DATA'!$A$2:$A$271,'KING TON SALES__ RAW DATA'!$B$2:$B$271)</f>
        <v>(BIG) GUM GUN</v>
      </c>
      <c r="G262" t="str">
        <f>_xlfn.XLOOKUP(E262,'KING TON SALES__ RAW DATA'!$A$2:$A$271,'KING TON SALES__ RAW DATA'!$D$2:$D$271)</f>
        <v>TOOL</v>
      </c>
      <c r="H262" s="6">
        <f>_xlfn.XLOOKUP(E262,'KING TON SALES__ RAW DATA'!$A$2:$A$271,'KING TON SALES__ RAW DATA'!$G$2:$G$271)</f>
        <v>2500</v>
      </c>
      <c r="I262">
        <v>20</v>
      </c>
      <c r="J262" s="6">
        <f>_xlfn.XLOOKUP(E262,'KING TON SALES__ RAW DATA'!$A$2:$A$271,'KING TON SALES__ RAW DATA'!$I$2:$I$271)</f>
        <v>5000</v>
      </c>
      <c r="K262" s="6">
        <f t="shared" si="12"/>
        <v>50000</v>
      </c>
      <c r="L262" s="6">
        <f t="shared" si="13"/>
        <v>100000</v>
      </c>
      <c r="M262" s="6">
        <f t="shared" si="14"/>
        <v>50000</v>
      </c>
      <c r="N262" t="str">
        <f>_xlfn.XLOOKUP(E262,'KING TON SALES__ RAW DATA'!$A$2:$A$271,'KING TON SALES__ RAW DATA'!$M$2:$M$271)</f>
        <v>TRANSFER</v>
      </c>
    </row>
    <row r="263" spans="1:14">
      <c r="A263" s="7">
        <v>6924</v>
      </c>
      <c r="B263" s="8">
        <v>46164</v>
      </c>
      <c r="C263" t="s">
        <v>52</v>
      </c>
      <c r="D263" t="s">
        <v>18</v>
      </c>
      <c r="E263" t="s">
        <v>206</v>
      </c>
      <c r="F263" t="str">
        <f>_xlfn.XLOOKUP(E263,'KING TON SALES__ RAW DATA'!$A$2:$A$271,'KING TON SALES__ RAW DATA'!$B$2:$B$271)</f>
        <v>QASA 12V 5AH</v>
      </c>
      <c r="G263" t="str">
        <f>_xlfn.XLOOKUP(E263,'KING TON SALES__ RAW DATA'!$A$2:$A$271,'KING TON SALES__ RAW DATA'!$D$2:$D$271)</f>
        <v>BATTERY</v>
      </c>
      <c r="H263" s="6">
        <f>_xlfn.XLOOKUP(E263,'KING TON SALES__ RAW DATA'!$A$2:$A$271,'KING TON SALES__ RAW DATA'!$G$2:$G$271)</f>
        <v>12000</v>
      </c>
      <c r="I263">
        <v>20</v>
      </c>
      <c r="J263" s="6">
        <f>_xlfn.XLOOKUP(E263,'KING TON SALES__ RAW DATA'!$A$2:$A$271,'KING TON SALES__ RAW DATA'!$I$2:$I$271)</f>
        <v>18000</v>
      </c>
      <c r="K263" s="6">
        <f t="shared" si="12"/>
        <v>240000</v>
      </c>
      <c r="L263" s="6">
        <f t="shared" si="13"/>
        <v>360000</v>
      </c>
      <c r="M263" s="6">
        <f t="shared" si="14"/>
        <v>120000</v>
      </c>
      <c r="N263" t="str">
        <f>_xlfn.XLOOKUP(E263,'KING TON SALES__ RAW DATA'!$A$2:$A$271,'KING TON SALES__ RAW DATA'!$M$2:$M$271)</f>
        <v>POS</v>
      </c>
    </row>
    <row r="264" spans="1:14">
      <c r="A264" s="7">
        <v>6925</v>
      </c>
      <c r="B264" s="8">
        <v>46181</v>
      </c>
      <c r="C264" t="s">
        <v>19</v>
      </c>
      <c r="D264" t="s">
        <v>23</v>
      </c>
      <c r="E264" t="s">
        <v>208</v>
      </c>
      <c r="F264" t="str">
        <f>_xlfn.XLOOKUP(E264,'KING TON SALES__ RAW DATA'!$A$2:$A$271,'KING TON SALES__ RAW DATA'!$B$2:$B$271)</f>
        <v>QASA 12V 7AH</v>
      </c>
      <c r="G264" t="str">
        <f>_xlfn.XLOOKUP(E264,'KING TON SALES__ RAW DATA'!$A$2:$A$271,'KING TON SALES__ RAW DATA'!$D$2:$D$271)</f>
        <v>BATTERY</v>
      </c>
      <c r="H264" s="6">
        <f>_xlfn.XLOOKUP(E264,'KING TON SALES__ RAW DATA'!$A$2:$A$271,'KING TON SALES__ RAW DATA'!$G$2:$G$271)</f>
        <v>15000</v>
      </c>
      <c r="I264">
        <v>24</v>
      </c>
      <c r="J264" s="6">
        <f>_xlfn.XLOOKUP(E264,'KING TON SALES__ RAW DATA'!$A$2:$A$271,'KING TON SALES__ RAW DATA'!$I$2:$I$271)</f>
        <v>20000</v>
      </c>
      <c r="K264" s="6">
        <f t="shared" si="12"/>
        <v>360000</v>
      </c>
      <c r="L264" s="6">
        <f t="shared" si="13"/>
        <v>480000</v>
      </c>
      <c r="M264" s="6">
        <f t="shared" si="14"/>
        <v>120000</v>
      </c>
      <c r="N264" t="str">
        <f>_xlfn.XLOOKUP(E264,'KING TON SALES__ RAW DATA'!$A$2:$A$271,'KING TON SALES__ RAW DATA'!$M$2:$M$271)</f>
        <v>CASH</v>
      </c>
    </row>
    <row r="265" spans="1:14">
      <c r="A265" s="7">
        <v>6926</v>
      </c>
      <c r="B265" s="8">
        <v>46156</v>
      </c>
      <c r="C265" t="s">
        <v>19</v>
      </c>
      <c r="D265" t="s">
        <v>23</v>
      </c>
      <c r="E265" t="s">
        <v>85</v>
      </c>
      <c r="F265" t="str">
        <f>_xlfn.XLOOKUP(E265,'KING TON SALES__ RAW DATA'!$A$2:$A$271,'KING TON SALES__ RAW DATA'!$B$2:$B$271)</f>
        <v>DC TO DC MALE (3m) WIRE</v>
      </c>
      <c r="G265" t="str">
        <f>_xlfn.XLOOKUP(E265,'KING TON SALES__ RAW DATA'!$A$2:$A$271,'KING TON SALES__ RAW DATA'!$D$2:$D$271)</f>
        <v>WIRE</v>
      </c>
      <c r="H265" s="6">
        <f>_xlfn.XLOOKUP(E265,'KING TON SALES__ RAW DATA'!$A$2:$A$271,'KING TON SALES__ RAW DATA'!$G$2:$G$271)</f>
        <v>500</v>
      </c>
      <c r="I265">
        <v>24</v>
      </c>
      <c r="J265" s="6">
        <f>_xlfn.XLOOKUP(E265,'KING TON SALES__ RAW DATA'!$A$2:$A$271,'KING TON SALES__ RAW DATA'!$I$2:$I$271)</f>
        <v>1000</v>
      </c>
      <c r="K265" s="6">
        <f t="shared" si="12"/>
        <v>12000</v>
      </c>
      <c r="L265" s="6">
        <f t="shared" si="13"/>
        <v>24000</v>
      </c>
      <c r="M265" s="6">
        <f t="shared" si="14"/>
        <v>12000</v>
      </c>
      <c r="N265" t="str">
        <f>_xlfn.XLOOKUP(E265,'KING TON SALES__ RAW DATA'!$A$2:$A$271,'KING TON SALES__ RAW DATA'!$M$2:$M$271)</f>
        <v>POS</v>
      </c>
    </row>
    <row r="266" spans="1:14">
      <c r="A266" s="7">
        <v>6927</v>
      </c>
      <c r="B266" s="8">
        <v>46156</v>
      </c>
      <c r="C266" t="s">
        <v>36</v>
      </c>
      <c r="D266" t="s">
        <v>18</v>
      </c>
      <c r="E266" t="s">
        <v>160</v>
      </c>
      <c r="F266" t="str">
        <f>_xlfn.XLOOKUP(E266,'KING TON SALES__ RAW DATA'!$A$2:$A$271,'KING TON SALES__ RAW DATA'!$B$2:$B$271)</f>
        <v>RAYMAX AAA BATTERY</v>
      </c>
      <c r="G266" t="str">
        <f>_xlfn.XLOOKUP(E266,'KING TON SALES__ RAW DATA'!$A$2:$A$271,'KING TON SALES__ RAW DATA'!$D$2:$D$271)</f>
        <v>BATTERY</v>
      </c>
      <c r="H266" s="6">
        <f>_xlfn.XLOOKUP(E266,'KING TON SALES__ RAW DATA'!$A$2:$A$271,'KING TON SALES__ RAW DATA'!$G$2:$G$271)</f>
        <v>1000</v>
      </c>
      <c r="I266">
        <v>21</v>
      </c>
      <c r="J266" s="6">
        <f>_xlfn.XLOOKUP(E266,'KING TON SALES__ RAW DATA'!$A$2:$A$271,'KING TON SALES__ RAW DATA'!$I$2:$I$271)</f>
        <v>1500</v>
      </c>
      <c r="K266" s="6">
        <f t="shared" si="12"/>
        <v>21000</v>
      </c>
      <c r="L266" s="6">
        <f t="shared" si="13"/>
        <v>31500</v>
      </c>
      <c r="M266" s="6">
        <f t="shared" si="14"/>
        <v>10500</v>
      </c>
      <c r="N266" t="str">
        <f>_xlfn.XLOOKUP(E266,'KING TON SALES__ RAW DATA'!$A$2:$A$271,'KING TON SALES__ RAW DATA'!$M$2:$M$271)</f>
        <v>TRANSFER</v>
      </c>
    </row>
    <row r="267" spans="1:14">
      <c r="A267" s="7">
        <v>6928</v>
      </c>
      <c r="B267" s="8">
        <v>46172</v>
      </c>
      <c r="C267" t="s">
        <v>52</v>
      </c>
      <c r="D267" t="s">
        <v>23</v>
      </c>
      <c r="E267" t="s">
        <v>174</v>
      </c>
      <c r="F267" t="str">
        <f>_xlfn.XLOOKUP(E267,'KING TON SALES__ RAW DATA'!$A$2:$A$271,'KING TON SALES__ RAW DATA'!$B$2:$B$271)</f>
        <v>7.4V LITHIUM DOUBLE BATTERY</v>
      </c>
      <c r="G267" t="str">
        <f>_xlfn.XLOOKUP(E267,'KING TON SALES__ RAW DATA'!$A$2:$A$271,'KING TON SALES__ RAW DATA'!$D$2:$D$271)</f>
        <v>BATTERY</v>
      </c>
      <c r="H267" s="6">
        <f>_xlfn.XLOOKUP(E267,'KING TON SALES__ RAW DATA'!$A$2:$A$271,'KING TON SALES__ RAW DATA'!$G$2:$G$271)</f>
        <v>1000</v>
      </c>
      <c r="I267">
        <v>19</v>
      </c>
      <c r="J267" s="6">
        <f>_xlfn.XLOOKUP(E267,'KING TON SALES__ RAW DATA'!$A$2:$A$271,'KING TON SALES__ RAW DATA'!$I$2:$I$271)</f>
        <v>2000</v>
      </c>
      <c r="K267" s="6">
        <f t="shared" si="12"/>
        <v>19000</v>
      </c>
      <c r="L267" s="6">
        <f t="shared" si="13"/>
        <v>38000</v>
      </c>
      <c r="M267" s="6">
        <f t="shared" si="14"/>
        <v>19000</v>
      </c>
      <c r="N267" t="str">
        <f>_xlfn.XLOOKUP(E267,'KING TON SALES__ RAW DATA'!$A$2:$A$271,'KING TON SALES__ RAW DATA'!$M$2:$M$271)</f>
        <v>POS</v>
      </c>
    </row>
    <row r="268" spans="1:14">
      <c r="A268" s="7">
        <v>6929</v>
      </c>
      <c r="B268" s="8">
        <v>46202</v>
      </c>
      <c r="C268" t="s">
        <v>52</v>
      </c>
      <c r="D268" t="s">
        <v>18</v>
      </c>
      <c r="E268" t="s">
        <v>53</v>
      </c>
      <c r="F268" t="str">
        <f>_xlfn.XLOOKUP(E268,'KING TON SALES__ RAW DATA'!$A$2:$A$271,'KING TON SALES__ RAW DATA'!$B$2:$B$271)</f>
        <v>HDMI (10m) WIRE </v>
      </c>
      <c r="G268" t="str">
        <f>_xlfn.XLOOKUP(E268,'KING TON SALES__ RAW DATA'!$A$2:$A$271,'KING TON SALES__ RAW DATA'!$D$2:$D$271)</f>
        <v>WIRE</v>
      </c>
      <c r="H268" s="6">
        <f>_xlfn.XLOOKUP(E268,'KING TON SALES__ RAW DATA'!$A$2:$A$271,'KING TON SALES__ RAW DATA'!$G$2:$G$271)</f>
        <v>2500</v>
      </c>
      <c r="I268">
        <v>25</v>
      </c>
      <c r="J268" s="6">
        <f>_xlfn.XLOOKUP(E268,'KING TON SALES__ RAW DATA'!$A$2:$A$271,'KING TON SALES__ RAW DATA'!$I$2:$I$271)</f>
        <v>5000</v>
      </c>
      <c r="K268" s="6">
        <f t="shared" si="12"/>
        <v>62500</v>
      </c>
      <c r="L268" s="6">
        <f t="shared" si="13"/>
        <v>125000</v>
      </c>
      <c r="M268" s="6">
        <f t="shared" si="14"/>
        <v>62500</v>
      </c>
      <c r="N268" t="str">
        <f>_xlfn.XLOOKUP(E268,'KING TON SALES__ RAW DATA'!$A$2:$A$271,'KING TON SALES__ RAW DATA'!$M$2:$M$271)</f>
        <v>TRANSFER</v>
      </c>
    </row>
    <row r="269" spans="1:14">
      <c r="A269" s="7">
        <v>6930</v>
      </c>
      <c r="B269" s="8">
        <v>46202</v>
      </c>
      <c r="C269" t="s">
        <v>19</v>
      </c>
      <c r="D269" t="s">
        <v>23</v>
      </c>
      <c r="E269" t="s">
        <v>239</v>
      </c>
      <c r="F269" t="str">
        <f>_xlfn.XLOOKUP(E269,'KING TON SALES__ RAW DATA'!$A$2:$A$271,'KING TON SALES__ RAW DATA'!$B$2:$B$271)</f>
        <v>GUN GUM (SMALL)</v>
      </c>
      <c r="G269" t="str">
        <f>_xlfn.XLOOKUP(E269,'KING TON SALES__ RAW DATA'!$A$2:$A$271,'KING TON SALES__ RAW DATA'!$D$2:$D$271)</f>
        <v>TOOL</v>
      </c>
      <c r="H269" s="6">
        <f>_xlfn.XLOOKUP(E269,'KING TON SALES__ RAW DATA'!$A$2:$A$271,'KING TON SALES__ RAW DATA'!$G$2:$G$271)</f>
        <v>200</v>
      </c>
      <c r="I269">
        <v>17</v>
      </c>
      <c r="J269" s="6">
        <f>_xlfn.XLOOKUP(E269,'KING TON SALES__ RAW DATA'!$A$2:$A$271,'KING TON SALES__ RAW DATA'!$I$2:$I$271)</f>
        <v>500</v>
      </c>
      <c r="K269" s="6">
        <f t="shared" si="12"/>
        <v>3400</v>
      </c>
      <c r="L269" s="6">
        <f t="shared" si="13"/>
        <v>8500</v>
      </c>
      <c r="M269" s="6">
        <f t="shared" si="14"/>
        <v>5100</v>
      </c>
      <c r="N269" t="str">
        <f>_xlfn.XLOOKUP(E269,'KING TON SALES__ RAW DATA'!$A$2:$A$271,'KING TON SALES__ RAW DATA'!$M$2:$M$271)</f>
        <v>TRANSFER</v>
      </c>
    </row>
    <row r="270" spans="1:14">
      <c r="A270" s="7">
        <v>6931</v>
      </c>
      <c r="B270" s="8">
        <v>46151</v>
      </c>
      <c r="C270" t="s">
        <v>19</v>
      </c>
      <c r="D270" t="s">
        <v>18</v>
      </c>
      <c r="E270" t="s">
        <v>63</v>
      </c>
      <c r="F270" t="str">
        <f>_xlfn.XLOOKUP(E270,'KING TON SALES__ RAW DATA'!$A$2:$A$271,'KING TON SALES__ RAW DATA'!$B$2:$B$271)</f>
        <v>4K HDMI (5m) WIRE</v>
      </c>
      <c r="G270" t="str">
        <f>_xlfn.XLOOKUP(E270,'KING TON SALES__ RAW DATA'!$A$2:$A$271,'KING TON SALES__ RAW DATA'!$D$2:$D$271)</f>
        <v>WIRE</v>
      </c>
      <c r="H270" s="6">
        <f>_xlfn.XLOOKUP(E270,'KING TON SALES__ RAW DATA'!$A$2:$A$271,'KING TON SALES__ RAW DATA'!$G$2:$G$271)</f>
        <v>3000</v>
      </c>
      <c r="I270">
        <v>22</v>
      </c>
      <c r="J270" s="6">
        <f>_xlfn.XLOOKUP(E270,'KING TON SALES__ RAW DATA'!$A$2:$A$271,'KING TON SALES__ RAW DATA'!$I$2:$I$271)</f>
        <v>8000</v>
      </c>
      <c r="K270" s="6">
        <f t="shared" si="12"/>
        <v>66000</v>
      </c>
      <c r="L270" s="6">
        <f t="shared" si="13"/>
        <v>176000</v>
      </c>
      <c r="M270" s="6">
        <f t="shared" si="14"/>
        <v>110000</v>
      </c>
      <c r="N270" t="str">
        <f>_xlfn.XLOOKUP(E270,'KING TON SALES__ RAW DATA'!$A$2:$A$271,'KING TON SALES__ RAW DATA'!$M$2:$M$271)</f>
        <v>POS</v>
      </c>
    </row>
    <row r="271" spans="1:14">
      <c r="A271" s="7">
        <v>6932</v>
      </c>
      <c r="B271" s="8">
        <v>46182</v>
      </c>
      <c r="C271" t="s">
        <v>19</v>
      </c>
      <c r="D271" t="s">
        <v>18</v>
      </c>
      <c r="E271" t="s">
        <v>156</v>
      </c>
      <c r="F271" t="str">
        <f>_xlfn.XLOOKUP(E271,'KING TON SALES__ RAW DATA'!$A$2:$A$271,'KING TON SALES__ RAW DATA'!$B$2:$B$271)</f>
        <v>POWER PEAK 9v BATTERY</v>
      </c>
      <c r="G271" t="str">
        <f>_xlfn.XLOOKUP(E271,'KING TON SALES__ RAW DATA'!$A$2:$A$271,'KING TON SALES__ RAW DATA'!$D$2:$D$271)</f>
        <v>BATTERY</v>
      </c>
      <c r="H271" s="6">
        <f>_xlfn.XLOOKUP(E271,'KING TON SALES__ RAW DATA'!$A$2:$A$271,'KING TON SALES__ RAW DATA'!$G$2:$G$271)</f>
        <v>250</v>
      </c>
      <c r="I271">
        <v>22</v>
      </c>
      <c r="J271" s="6">
        <f>_xlfn.XLOOKUP(E271,'KING TON SALES__ RAW DATA'!$A$2:$A$271,'KING TON SALES__ RAW DATA'!$I$2:$I$271)</f>
        <v>500</v>
      </c>
      <c r="K271" s="6">
        <f t="shared" si="12"/>
        <v>5500</v>
      </c>
      <c r="L271" s="6">
        <f t="shared" si="13"/>
        <v>11000</v>
      </c>
      <c r="M271" s="6">
        <f t="shared" si="14"/>
        <v>5500</v>
      </c>
      <c r="N271" t="str">
        <f>_xlfn.XLOOKUP(E271,'KING TON SALES__ RAW DATA'!$A$2:$A$271,'KING TON SALES__ RAW DATA'!$M$2:$M$271)</f>
        <v>CASH</v>
      </c>
    </row>
    <row r="272" spans="1:14">
      <c r="A272" s="7">
        <v>6933</v>
      </c>
      <c r="B272" s="8">
        <v>46156</v>
      </c>
      <c r="C272" t="s">
        <v>36</v>
      </c>
      <c r="D272" t="s">
        <v>23</v>
      </c>
      <c r="E272" t="s">
        <v>225</v>
      </c>
      <c r="F272" t="str">
        <f>_xlfn.XLOOKUP(E272,'KING TON SALES__ RAW DATA'!$A$2:$A$271,'KING TON SALES__ RAW DATA'!$B$2:$B$271)</f>
        <v>STONE-TECH DIGITAL SURGE 13 AMPS SURGE</v>
      </c>
      <c r="G272" t="str">
        <f>_xlfn.XLOOKUP(E272,'KING TON SALES__ RAW DATA'!$A$2:$A$271,'KING TON SALES__ RAW DATA'!$D$2:$D$271)</f>
        <v>SURGE</v>
      </c>
      <c r="H272" s="6">
        <f>_xlfn.XLOOKUP(E272,'KING TON SALES__ RAW DATA'!$A$2:$A$271,'KING TON SALES__ RAW DATA'!$G$2:$G$271)</f>
        <v>3000</v>
      </c>
      <c r="I272">
        <v>17</v>
      </c>
      <c r="J272" s="6">
        <f>_xlfn.XLOOKUP(E272,'KING TON SALES__ RAW DATA'!$A$2:$A$271,'KING TON SALES__ RAW DATA'!$I$2:$I$271)</f>
        <v>6000</v>
      </c>
      <c r="K272" s="6">
        <f t="shared" si="12"/>
        <v>51000</v>
      </c>
      <c r="L272" s="6">
        <f t="shared" si="13"/>
        <v>102000</v>
      </c>
      <c r="M272" s="6">
        <f t="shared" si="14"/>
        <v>51000</v>
      </c>
      <c r="N272" t="str">
        <f>_xlfn.XLOOKUP(E272,'KING TON SALES__ RAW DATA'!$A$2:$A$271,'KING TON SALES__ RAW DATA'!$M$2:$M$271)</f>
        <v>POS</v>
      </c>
    </row>
    <row r="273" spans="1:14">
      <c r="A273" s="7">
        <v>6934</v>
      </c>
      <c r="B273" s="8">
        <v>46180</v>
      </c>
      <c r="C273" t="s">
        <v>19</v>
      </c>
      <c r="D273" t="s">
        <v>18</v>
      </c>
      <c r="E273" t="s">
        <v>57</v>
      </c>
      <c r="F273" t="str">
        <f>_xlfn.XLOOKUP(E273,'KING TON SALES__ RAW DATA'!$A$2:$A$271,'KING TON SALES__ RAW DATA'!$B$2:$B$271)</f>
        <v>HDMI (20m) WIRE</v>
      </c>
      <c r="G273" t="str">
        <f>_xlfn.XLOOKUP(E273,'KING TON SALES__ RAW DATA'!$A$2:$A$271,'KING TON SALES__ RAW DATA'!$D$2:$D$271)</f>
        <v>WIRE</v>
      </c>
      <c r="H273" s="6">
        <f>_xlfn.XLOOKUP(E273,'KING TON SALES__ RAW DATA'!$A$2:$A$271,'KING TON SALES__ RAW DATA'!$G$2:$G$271)</f>
        <v>4000</v>
      </c>
      <c r="I273">
        <v>25</v>
      </c>
      <c r="J273" s="6">
        <f>_xlfn.XLOOKUP(E273,'KING TON SALES__ RAW DATA'!$A$2:$A$271,'KING TON SALES__ RAW DATA'!$I$2:$I$271)</f>
        <v>12000</v>
      </c>
      <c r="K273" s="6">
        <f t="shared" si="12"/>
        <v>100000</v>
      </c>
      <c r="L273" s="6">
        <f t="shared" si="13"/>
        <v>300000</v>
      </c>
      <c r="M273" s="6">
        <f t="shared" si="14"/>
        <v>200000</v>
      </c>
      <c r="N273" t="str">
        <f>_xlfn.XLOOKUP(E273,'KING TON SALES__ RAW DATA'!$A$2:$A$271,'KING TON SALES__ RAW DATA'!$M$2:$M$271)</f>
        <v>TRANSFER</v>
      </c>
    </row>
    <row r="274" spans="1:14">
      <c r="A274" s="7">
        <v>6935</v>
      </c>
      <c r="B274" s="8">
        <v>46180</v>
      </c>
      <c r="C274" t="s">
        <v>33</v>
      </c>
      <c r="D274" t="s">
        <v>23</v>
      </c>
      <c r="E274" t="s">
        <v>65</v>
      </c>
      <c r="F274" t="str">
        <f>_xlfn.XLOOKUP(E274,'KING TON SALES__ RAW DATA'!$A$2:$A$271,'KING TON SALES__ RAW DATA'!$B$2:$B$271)</f>
        <v>4K HDMI (10m) WIRE</v>
      </c>
      <c r="G274" t="str">
        <f>_xlfn.XLOOKUP(E274,'KING TON SALES__ RAW DATA'!$A$2:$A$271,'KING TON SALES__ RAW DATA'!$D$2:$D$271)</f>
        <v>WIRE</v>
      </c>
      <c r="H274" s="6">
        <f>_xlfn.XLOOKUP(E274,'KING TON SALES__ RAW DATA'!$A$2:$A$271,'KING TON SALES__ RAW DATA'!$G$2:$G$271)</f>
        <v>5000</v>
      </c>
      <c r="I274">
        <v>19</v>
      </c>
      <c r="J274" s="6">
        <f>_xlfn.XLOOKUP(E274,'KING TON SALES__ RAW DATA'!$A$2:$A$271,'KING TON SALES__ RAW DATA'!$I$2:$I$271)</f>
        <v>15000</v>
      </c>
      <c r="K274" s="6">
        <f t="shared" si="12"/>
        <v>95000</v>
      </c>
      <c r="L274" s="6">
        <f t="shared" si="13"/>
        <v>285000</v>
      </c>
      <c r="M274" s="6">
        <f t="shared" si="14"/>
        <v>190000</v>
      </c>
      <c r="N274" t="str">
        <f>_xlfn.XLOOKUP(E274,'KING TON SALES__ RAW DATA'!$A$2:$A$271,'KING TON SALES__ RAW DATA'!$M$2:$M$271)</f>
        <v>CASH</v>
      </c>
    </row>
    <row r="275" spans="1:14">
      <c r="A275" s="7">
        <v>6936</v>
      </c>
      <c r="B275" s="8">
        <v>46170</v>
      </c>
      <c r="C275" t="s">
        <v>19</v>
      </c>
      <c r="D275" t="s">
        <v>18</v>
      </c>
      <c r="E275" t="s">
        <v>241</v>
      </c>
      <c r="F275" t="str">
        <f>_xlfn.XLOOKUP(E275,'KING TON SALES__ RAW DATA'!$A$2:$A$271,'KING TON SALES__ RAW DATA'!$B$2:$B$271)</f>
        <v>INDUSTRIAL BLENDER PLATE</v>
      </c>
      <c r="G275" t="str">
        <f>_xlfn.XLOOKUP(E275,'KING TON SALES__ RAW DATA'!$A$2:$A$271,'KING TON SALES__ RAW DATA'!$D$2:$D$271)</f>
        <v>BLENDER</v>
      </c>
      <c r="H275" s="6">
        <f>_xlfn.XLOOKUP(E275,'KING TON SALES__ RAW DATA'!$A$2:$A$271,'KING TON SALES__ RAW DATA'!$G$2:$G$271)</f>
        <v>1000</v>
      </c>
      <c r="I275">
        <v>21</v>
      </c>
      <c r="J275" s="6">
        <f>_xlfn.XLOOKUP(E275,'KING TON SALES__ RAW DATA'!$A$2:$A$271,'KING TON SALES__ RAW DATA'!$I$2:$I$271)</f>
        <v>1500</v>
      </c>
      <c r="K275" s="6">
        <f t="shared" si="12"/>
        <v>21000</v>
      </c>
      <c r="L275" s="6">
        <f t="shared" si="13"/>
        <v>31500</v>
      </c>
      <c r="M275" s="6">
        <f t="shared" si="14"/>
        <v>10500</v>
      </c>
      <c r="N275" t="str">
        <f>_xlfn.XLOOKUP(E275,'KING TON SALES__ RAW DATA'!$A$2:$A$271,'KING TON SALES__ RAW DATA'!$M$2:$M$271)</f>
        <v>TRANSFER</v>
      </c>
    </row>
    <row r="276" spans="1:14">
      <c r="A276" s="7">
        <v>6937</v>
      </c>
      <c r="B276" s="8">
        <v>46158</v>
      </c>
      <c r="C276" t="s">
        <v>33</v>
      </c>
      <c r="D276" t="s">
        <v>23</v>
      </c>
      <c r="E276" t="s">
        <v>31</v>
      </c>
      <c r="F276" t="str">
        <f>_xlfn.XLOOKUP(E276,'KING TON SALES__ RAW DATA'!$A$2:$A$271,'KING TON SALES__ RAW DATA'!$B$2:$B$271)</f>
        <v>AUX TO JACK (1.5m) WIRE</v>
      </c>
      <c r="G276" t="str">
        <f>_xlfn.XLOOKUP(E276,'KING TON SALES__ RAW DATA'!$A$2:$A$271,'KING TON SALES__ RAW DATA'!$D$2:$D$271)</f>
        <v>WIRE</v>
      </c>
      <c r="H276" s="6">
        <f>_xlfn.XLOOKUP(E276,'KING TON SALES__ RAW DATA'!$A$2:$A$271,'KING TON SALES__ RAW DATA'!$G$2:$G$271)</f>
        <v>600</v>
      </c>
      <c r="I276">
        <v>19</v>
      </c>
      <c r="J276" s="6">
        <f>_xlfn.XLOOKUP(E276,'KING TON SALES__ RAW DATA'!$A$2:$A$271,'KING TON SALES__ RAW DATA'!$I$2:$I$271)</f>
        <v>1000</v>
      </c>
      <c r="K276" s="6">
        <f t="shared" si="12"/>
        <v>11400</v>
      </c>
      <c r="L276" s="6">
        <f t="shared" si="13"/>
        <v>19000</v>
      </c>
      <c r="M276" s="6">
        <f t="shared" si="14"/>
        <v>7600</v>
      </c>
      <c r="N276" t="str">
        <f>_xlfn.XLOOKUP(E276,'KING TON SALES__ RAW DATA'!$A$2:$A$271,'KING TON SALES__ RAW DATA'!$M$2:$M$271)</f>
        <v>TRANSFER</v>
      </c>
    </row>
    <row r="277" spans="1:14">
      <c r="A277" s="7">
        <v>6938</v>
      </c>
      <c r="B277" s="8">
        <v>46174</v>
      </c>
      <c r="C277" t="s">
        <v>19</v>
      </c>
      <c r="D277" t="s">
        <v>23</v>
      </c>
      <c r="E277" t="s">
        <v>215</v>
      </c>
      <c r="F277" t="str">
        <f>_xlfn.XLOOKUP(E277,'KING TON SALES__ RAW DATA'!$A$2:$A$271,'KING TON SALES__ RAW DATA'!$B$2:$B$271)</f>
        <v>AVS 15 AMPS SURGE</v>
      </c>
      <c r="G277" t="str">
        <f>_xlfn.XLOOKUP(E277,'KING TON SALES__ RAW DATA'!$A$2:$A$271,'KING TON SALES__ RAW DATA'!$D$2:$D$271)</f>
        <v>SURGE</v>
      </c>
      <c r="H277" s="6">
        <f>_xlfn.XLOOKUP(E277,'KING TON SALES__ RAW DATA'!$A$2:$A$271,'KING TON SALES__ RAW DATA'!$G$2:$G$271)</f>
        <v>5000</v>
      </c>
      <c r="I277">
        <v>21</v>
      </c>
      <c r="J277" s="6">
        <f>_xlfn.XLOOKUP(E277,'KING TON SALES__ RAW DATA'!$A$2:$A$271,'KING TON SALES__ RAW DATA'!$I$2:$I$271)</f>
        <v>15000</v>
      </c>
      <c r="K277" s="6">
        <f t="shared" si="12"/>
        <v>105000</v>
      </c>
      <c r="L277" s="6">
        <f t="shared" si="13"/>
        <v>315000</v>
      </c>
      <c r="M277" s="6">
        <f t="shared" si="14"/>
        <v>210000</v>
      </c>
      <c r="N277" t="str">
        <f>_xlfn.XLOOKUP(E277,'KING TON SALES__ RAW DATA'!$A$2:$A$271,'KING TON SALES__ RAW DATA'!$M$2:$M$271)</f>
        <v>TRANSFER</v>
      </c>
    </row>
    <row r="278" spans="1:14">
      <c r="A278" s="7">
        <v>6939</v>
      </c>
      <c r="B278" s="8">
        <v>46194</v>
      </c>
      <c r="C278" t="s">
        <v>43</v>
      </c>
      <c r="D278" t="s">
        <v>23</v>
      </c>
      <c r="E278" t="s">
        <v>168</v>
      </c>
      <c r="F278" t="str">
        <f>_xlfn.XLOOKUP(E278,'KING TON SALES__ RAW DATA'!$A$2:$A$271,'KING TON SALES__ RAW DATA'!$B$2:$B$271)</f>
        <v>3.7V LITHIUM SINGLE BATTERY</v>
      </c>
      <c r="G278" t="str">
        <f>_xlfn.XLOOKUP(E278,'KING TON SALES__ RAW DATA'!$A$2:$A$271,'KING TON SALES__ RAW DATA'!$D$2:$D$271)</f>
        <v>BATTERY</v>
      </c>
      <c r="H278" s="6">
        <f>_xlfn.XLOOKUP(E278,'KING TON SALES__ RAW DATA'!$A$2:$A$271,'KING TON SALES__ RAW DATA'!$G$2:$G$271)</f>
        <v>700</v>
      </c>
      <c r="I278">
        <v>21</v>
      </c>
      <c r="J278" s="6">
        <f>_xlfn.XLOOKUP(E278,'KING TON SALES__ RAW DATA'!$A$2:$A$271,'KING TON SALES__ RAW DATA'!$I$2:$I$271)</f>
        <v>1000</v>
      </c>
      <c r="K278" s="6">
        <f t="shared" si="12"/>
        <v>14700</v>
      </c>
      <c r="L278" s="6">
        <f t="shared" si="13"/>
        <v>21000</v>
      </c>
      <c r="M278" s="6">
        <f t="shared" si="14"/>
        <v>6300</v>
      </c>
      <c r="N278" t="str">
        <f>_xlfn.XLOOKUP(E278,'KING TON SALES__ RAW DATA'!$A$2:$A$271,'KING TON SALES__ RAW DATA'!$M$2:$M$271)</f>
        <v>TRANSFER</v>
      </c>
    </row>
    <row r="279" spans="1:14">
      <c r="A279" s="7">
        <v>6940</v>
      </c>
      <c r="B279" s="8">
        <v>46151</v>
      </c>
      <c r="C279" t="s">
        <v>36</v>
      </c>
      <c r="D279" t="s">
        <v>18</v>
      </c>
      <c r="E279" t="s">
        <v>221</v>
      </c>
      <c r="F279" t="str">
        <f>_xlfn.XLOOKUP(E279,'KING TON SALES__ RAW DATA'!$A$2:$A$271,'KING TON SALES__ RAW DATA'!$B$2:$B$271)</f>
        <v>TV-FRIDGE SURGE</v>
      </c>
      <c r="G279" t="str">
        <f>_xlfn.XLOOKUP(E279,'KING TON SALES__ RAW DATA'!$A$2:$A$271,'KING TON SALES__ RAW DATA'!$D$2:$D$271)</f>
        <v>SURGE</v>
      </c>
      <c r="H279" s="6">
        <f>_xlfn.XLOOKUP(E279,'KING TON SALES__ RAW DATA'!$A$2:$A$271,'KING TON SALES__ RAW DATA'!$G$2:$G$271)</f>
        <v>2500</v>
      </c>
      <c r="I279">
        <v>20</v>
      </c>
      <c r="J279" s="6">
        <f>_xlfn.XLOOKUP(E279,'KING TON SALES__ RAW DATA'!$A$2:$A$271,'KING TON SALES__ RAW DATA'!$I$2:$I$271)</f>
        <v>4500</v>
      </c>
      <c r="K279" s="6">
        <f t="shared" si="12"/>
        <v>50000</v>
      </c>
      <c r="L279" s="6">
        <f t="shared" si="13"/>
        <v>90000</v>
      </c>
      <c r="M279" s="6">
        <f t="shared" si="14"/>
        <v>40000</v>
      </c>
      <c r="N279" t="str">
        <f>_xlfn.XLOOKUP(E279,'KING TON SALES__ RAW DATA'!$A$2:$A$271,'KING TON SALES__ RAW DATA'!$M$2:$M$271)</f>
        <v>POS</v>
      </c>
    </row>
    <row r="280" spans="1:14">
      <c r="A280" s="7">
        <v>6941</v>
      </c>
      <c r="B280" s="8">
        <v>46167</v>
      </c>
      <c r="C280" t="s">
        <v>36</v>
      </c>
      <c r="D280" t="s">
        <v>23</v>
      </c>
      <c r="E280" t="s">
        <v>225</v>
      </c>
      <c r="F280" t="str">
        <f>_xlfn.XLOOKUP(E280,'KING TON SALES__ RAW DATA'!$A$2:$A$271,'KING TON SALES__ RAW DATA'!$B$2:$B$271)</f>
        <v>STONE-TECH DIGITAL SURGE 13 AMPS SURGE</v>
      </c>
      <c r="G280" t="str">
        <f>_xlfn.XLOOKUP(E280,'KING TON SALES__ RAW DATA'!$A$2:$A$271,'KING TON SALES__ RAW DATA'!$D$2:$D$271)</f>
        <v>SURGE</v>
      </c>
      <c r="H280" s="6">
        <f>_xlfn.XLOOKUP(E280,'KING TON SALES__ RAW DATA'!$A$2:$A$271,'KING TON SALES__ RAW DATA'!$G$2:$G$271)</f>
        <v>3000</v>
      </c>
      <c r="I280">
        <v>23</v>
      </c>
      <c r="J280" s="6">
        <f>_xlfn.XLOOKUP(E280,'KING TON SALES__ RAW DATA'!$A$2:$A$271,'KING TON SALES__ RAW DATA'!$I$2:$I$271)</f>
        <v>6000</v>
      </c>
      <c r="K280" s="6">
        <f t="shared" si="12"/>
        <v>69000</v>
      </c>
      <c r="L280" s="6">
        <f t="shared" si="13"/>
        <v>138000</v>
      </c>
      <c r="M280" s="6">
        <f t="shared" si="14"/>
        <v>69000</v>
      </c>
      <c r="N280" t="str">
        <f>_xlfn.XLOOKUP(E280,'KING TON SALES__ RAW DATA'!$A$2:$A$271,'KING TON SALES__ RAW DATA'!$M$2:$M$271)</f>
        <v>POS</v>
      </c>
    </row>
    <row r="281" spans="1:14">
      <c r="A281" s="7">
        <v>6942</v>
      </c>
      <c r="B281" s="8">
        <v>46170</v>
      </c>
      <c r="C281" t="s">
        <v>19</v>
      </c>
      <c r="D281" t="s">
        <v>23</v>
      </c>
      <c r="E281" t="s">
        <v>208</v>
      </c>
      <c r="F281" t="str">
        <f>_xlfn.XLOOKUP(E281,'KING TON SALES__ RAW DATA'!$A$2:$A$271,'KING TON SALES__ RAW DATA'!$B$2:$B$271)</f>
        <v>QASA 12V 7AH</v>
      </c>
      <c r="G281" t="str">
        <f>_xlfn.XLOOKUP(E281,'KING TON SALES__ RAW DATA'!$A$2:$A$271,'KING TON SALES__ RAW DATA'!$D$2:$D$271)</f>
        <v>BATTERY</v>
      </c>
      <c r="H281" s="6">
        <f>_xlfn.XLOOKUP(E281,'KING TON SALES__ RAW DATA'!$A$2:$A$271,'KING TON SALES__ RAW DATA'!$G$2:$G$271)</f>
        <v>15000</v>
      </c>
      <c r="I281">
        <v>25</v>
      </c>
      <c r="J281" s="6">
        <f>_xlfn.XLOOKUP(E281,'KING TON SALES__ RAW DATA'!$A$2:$A$271,'KING TON SALES__ RAW DATA'!$I$2:$I$271)</f>
        <v>20000</v>
      </c>
      <c r="K281" s="6">
        <f t="shared" si="12"/>
        <v>375000</v>
      </c>
      <c r="L281" s="6">
        <f t="shared" si="13"/>
        <v>500000</v>
      </c>
      <c r="M281" s="6">
        <f t="shared" si="14"/>
        <v>125000</v>
      </c>
      <c r="N281" t="str">
        <f>_xlfn.XLOOKUP(E281,'KING TON SALES__ RAW DATA'!$A$2:$A$271,'KING TON SALES__ RAW DATA'!$M$2:$M$271)</f>
        <v>CASH</v>
      </c>
    </row>
    <row r="282" spans="1:14">
      <c r="A282" s="7">
        <v>6943</v>
      </c>
      <c r="B282" s="8">
        <v>46171</v>
      </c>
      <c r="C282" t="s">
        <v>19</v>
      </c>
      <c r="D282" t="s">
        <v>18</v>
      </c>
      <c r="E282" t="s">
        <v>180</v>
      </c>
      <c r="F282" t="str">
        <f>_xlfn.XLOOKUP(E282,'KING TON SALES__ RAW DATA'!$A$2:$A$271,'KING TON SALES__ RAW DATA'!$B$2:$B$271)</f>
        <v>11.1  LITHIUM 6 IN 1</v>
      </c>
      <c r="G282" t="str">
        <f>_xlfn.XLOOKUP(E282,'KING TON SALES__ RAW DATA'!$A$2:$A$271,'KING TON SALES__ RAW DATA'!$D$2:$D$271)</f>
        <v>BATTERY</v>
      </c>
      <c r="H282" s="6">
        <f>_xlfn.XLOOKUP(E282,'KING TON SALES__ RAW DATA'!$A$2:$A$271,'KING TON SALES__ RAW DATA'!$G$2:$G$271)</f>
        <v>8000</v>
      </c>
      <c r="I282">
        <v>23</v>
      </c>
      <c r="J282" s="6">
        <f>_xlfn.XLOOKUP(E282,'KING TON SALES__ RAW DATA'!$A$2:$A$271,'KING TON SALES__ RAW DATA'!$I$2:$I$271)</f>
        <v>12000</v>
      </c>
      <c r="K282" s="6">
        <f t="shared" si="12"/>
        <v>184000</v>
      </c>
      <c r="L282" s="6">
        <f t="shared" si="13"/>
        <v>276000</v>
      </c>
      <c r="M282" s="6">
        <f t="shared" si="14"/>
        <v>92000</v>
      </c>
      <c r="N282" t="str">
        <f>_xlfn.XLOOKUP(E282,'KING TON SALES__ RAW DATA'!$A$2:$A$271,'KING TON SALES__ RAW DATA'!$M$2:$M$271)</f>
        <v>POS</v>
      </c>
    </row>
    <row r="283" spans="1:14">
      <c r="A283" s="7">
        <v>6944</v>
      </c>
      <c r="B283" s="8">
        <v>46148</v>
      </c>
      <c r="C283" t="s">
        <v>43</v>
      </c>
      <c r="D283" t="s">
        <v>23</v>
      </c>
      <c r="E283" t="s">
        <v>75</v>
      </c>
      <c r="F283" t="str">
        <f>_xlfn.XLOOKUP(E283,'KING TON SALES__ RAW DATA'!$A$2:$A$271,'KING TON SALES__ RAW DATA'!$B$2:$B$271)</f>
        <v>BLUE 4K HDMI (3m) WIRE</v>
      </c>
      <c r="G283" t="str">
        <f>_xlfn.XLOOKUP(E283,'KING TON SALES__ RAW DATA'!$A$2:$A$271,'KING TON SALES__ RAW DATA'!$D$2:$D$271)</f>
        <v>WIRE</v>
      </c>
      <c r="H283" s="6">
        <f>_xlfn.XLOOKUP(E283,'KING TON SALES__ RAW DATA'!$A$2:$A$271,'KING TON SALES__ RAW DATA'!$G$2:$G$271)</f>
        <v>3000</v>
      </c>
      <c r="I283">
        <v>22</v>
      </c>
      <c r="J283" s="6">
        <f>_xlfn.XLOOKUP(E283,'KING TON SALES__ RAW DATA'!$A$2:$A$271,'KING TON SALES__ RAW DATA'!$I$2:$I$271)</f>
        <v>6000</v>
      </c>
      <c r="K283" s="6">
        <f t="shared" si="12"/>
        <v>66000</v>
      </c>
      <c r="L283" s="6">
        <f t="shared" si="13"/>
        <v>132000</v>
      </c>
      <c r="M283" s="6">
        <f t="shared" si="14"/>
        <v>66000</v>
      </c>
      <c r="N283" t="str">
        <f>_xlfn.XLOOKUP(E283,'KING TON SALES__ RAW DATA'!$A$2:$A$271,'KING TON SALES__ RAW DATA'!$M$2:$M$271)</f>
        <v>POS</v>
      </c>
    </row>
    <row r="284" spans="1:14">
      <c r="A284" s="7">
        <v>6945</v>
      </c>
      <c r="B284" s="8">
        <v>46194</v>
      </c>
      <c r="C284" t="s">
        <v>43</v>
      </c>
      <c r="D284" t="s">
        <v>23</v>
      </c>
      <c r="E284" t="s">
        <v>198</v>
      </c>
      <c r="F284" t="str">
        <f>_xlfn.XLOOKUP(E284,'KING TON SALES__ RAW DATA'!$A$2:$A$271,'KING TON SALES__ RAW DATA'!$B$2:$B$271)</f>
        <v>UBEC 12V 5AH</v>
      </c>
      <c r="G284" t="str">
        <f>_xlfn.XLOOKUP(E284,'KING TON SALES__ RAW DATA'!$A$2:$A$271,'KING TON SALES__ RAW DATA'!$D$2:$D$271)</f>
        <v>BATTERY</v>
      </c>
      <c r="H284" s="6">
        <f>_xlfn.XLOOKUP(E284,'KING TON SALES__ RAW DATA'!$A$2:$A$271,'KING TON SALES__ RAW DATA'!$G$2:$G$271)</f>
        <v>10000</v>
      </c>
      <c r="I284">
        <v>20</v>
      </c>
      <c r="J284" s="6">
        <f>_xlfn.XLOOKUP(E284,'KING TON SALES__ RAW DATA'!$A$2:$A$271,'KING TON SALES__ RAW DATA'!$I$2:$I$271)</f>
        <v>15000</v>
      </c>
      <c r="K284" s="6">
        <f t="shared" si="12"/>
        <v>200000</v>
      </c>
      <c r="L284" s="6">
        <f t="shared" si="13"/>
        <v>300000</v>
      </c>
      <c r="M284" s="6">
        <f t="shared" si="14"/>
        <v>100000</v>
      </c>
      <c r="N284" t="str">
        <f>_xlfn.XLOOKUP(E284,'KING TON SALES__ RAW DATA'!$A$2:$A$271,'KING TON SALES__ RAW DATA'!$M$2:$M$271)</f>
        <v>POS</v>
      </c>
    </row>
    <row r="285" spans="1:14">
      <c r="A285" s="7">
        <v>6946</v>
      </c>
      <c r="B285" s="8">
        <v>46196</v>
      </c>
      <c r="C285" t="s">
        <v>36</v>
      </c>
      <c r="D285" t="s">
        <v>18</v>
      </c>
      <c r="E285" t="s">
        <v>190</v>
      </c>
      <c r="F285" t="str">
        <f>_xlfn.XLOOKUP(E285,'KING TON SALES__ RAW DATA'!$A$2:$A$271,'KING TON SALES__ RAW DATA'!$B$2:$B$271)</f>
        <v>SUNCA 6V 4.5 AH</v>
      </c>
      <c r="G285" t="str">
        <f>_xlfn.XLOOKUP(E285,'KING TON SALES__ RAW DATA'!$A$2:$A$271,'KING TON SALES__ RAW DATA'!$D$2:$D$271)</f>
        <v>BATTERY</v>
      </c>
      <c r="H285" s="6">
        <f>_xlfn.XLOOKUP(E285,'KING TON SALES__ RAW DATA'!$A$2:$A$271,'KING TON SALES__ RAW DATA'!$G$2:$G$271)</f>
        <v>2500</v>
      </c>
      <c r="I285">
        <v>22</v>
      </c>
      <c r="J285" s="6">
        <f>_xlfn.XLOOKUP(E285,'KING TON SALES__ RAW DATA'!$A$2:$A$271,'KING TON SALES__ RAW DATA'!$I$2:$I$271)</f>
        <v>5000</v>
      </c>
      <c r="K285" s="6">
        <f t="shared" si="12"/>
        <v>55000</v>
      </c>
      <c r="L285" s="6">
        <f t="shared" si="13"/>
        <v>110000</v>
      </c>
      <c r="M285" s="6">
        <f t="shared" si="14"/>
        <v>55000</v>
      </c>
      <c r="N285" t="str">
        <f>_xlfn.XLOOKUP(E285,'KING TON SALES__ RAW DATA'!$A$2:$A$271,'KING TON SALES__ RAW DATA'!$M$2:$M$271)</f>
        <v>TRANSFER</v>
      </c>
    </row>
    <row r="286" spans="1:14">
      <c r="A286" s="7">
        <v>6947</v>
      </c>
      <c r="B286" s="8">
        <v>46167</v>
      </c>
      <c r="C286" t="s">
        <v>19</v>
      </c>
      <c r="D286" t="s">
        <v>23</v>
      </c>
      <c r="E286" t="s">
        <v>21</v>
      </c>
      <c r="F286" t="str">
        <f>_xlfn.XLOOKUP(E286,'KING TON SALES__ RAW DATA'!$A$2:$A$271,'KING TON SALES__ RAW DATA'!$B$2:$B$271)</f>
        <v>2 TO 2 AV (1.5m) WIRE</v>
      </c>
      <c r="G286" t="str">
        <f>_xlfn.XLOOKUP(E286,'KING TON SALES__ RAW DATA'!$A$2:$A$271,'KING TON SALES__ RAW DATA'!$D$2:$D$271)</f>
        <v>WIRE</v>
      </c>
      <c r="H286" s="6">
        <f>_xlfn.XLOOKUP(E286,'KING TON SALES__ RAW DATA'!$A$2:$A$271,'KING TON SALES__ RAW DATA'!$G$2:$G$271)</f>
        <v>500</v>
      </c>
      <c r="I286">
        <v>22</v>
      </c>
      <c r="J286" s="6">
        <f>_xlfn.XLOOKUP(E286,'KING TON SALES__ RAW DATA'!$A$2:$A$271,'KING TON SALES__ RAW DATA'!$I$2:$I$271)</f>
        <v>1000</v>
      </c>
      <c r="K286" s="6">
        <f t="shared" si="12"/>
        <v>11000</v>
      </c>
      <c r="L286" s="6">
        <f t="shared" si="13"/>
        <v>22000</v>
      </c>
      <c r="M286" s="6">
        <f t="shared" si="14"/>
        <v>11000</v>
      </c>
      <c r="N286" t="str">
        <f>_xlfn.XLOOKUP(E286,'KING TON SALES__ RAW DATA'!$A$2:$A$271,'KING TON SALES__ RAW DATA'!$M$2:$M$271)</f>
        <v>CASH</v>
      </c>
    </row>
    <row r="287" spans="1:14">
      <c r="A287" s="7">
        <v>6948</v>
      </c>
      <c r="B287" s="8">
        <v>46171</v>
      </c>
      <c r="C287" t="s">
        <v>33</v>
      </c>
      <c r="D287" t="s">
        <v>23</v>
      </c>
      <c r="E287" t="s">
        <v>109</v>
      </c>
      <c r="F287" t="str">
        <f>_xlfn.XLOOKUP(E287,'KING TON SALES__ RAW DATA'!$A$2:$A$271,'KING TON SALES__ RAW DATA'!$B$2:$B$271)</f>
        <v>OPTICAL CABLE (1.5m)</v>
      </c>
      <c r="G287" t="str">
        <f>_xlfn.XLOOKUP(E287,'KING TON SALES__ RAW DATA'!$A$2:$A$271,'KING TON SALES__ RAW DATA'!$D$2:$D$271)</f>
        <v>WIRE</v>
      </c>
      <c r="H287" s="6">
        <f>_xlfn.XLOOKUP(E287,'KING TON SALES__ RAW DATA'!$A$2:$A$271,'KING TON SALES__ RAW DATA'!$G$2:$G$271)</f>
        <v>1500</v>
      </c>
      <c r="I287">
        <v>20</v>
      </c>
      <c r="J287" s="6">
        <f>_xlfn.XLOOKUP(E287,'KING TON SALES__ RAW DATA'!$A$2:$A$271,'KING TON SALES__ RAW DATA'!$I$2:$I$271)</f>
        <v>3500</v>
      </c>
      <c r="K287" s="6">
        <f t="shared" si="12"/>
        <v>30000</v>
      </c>
      <c r="L287" s="6">
        <f t="shared" si="13"/>
        <v>70000</v>
      </c>
      <c r="M287" s="6">
        <f t="shared" si="14"/>
        <v>40000</v>
      </c>
      <c r="N287" t="str">
        <f>_xlfn.XLOOKUP(E287,'KING TON SALES__ RAW DATA'!$A$2:$A$271,'KING TON SALES__ RAW DATA'!$M$2:$M$271)</f>
        <v>CASH</v>
      </c>
    </row>
    <row r="288" spans="1:14">
      <c r="A288" s="7">
        <v>6949</v>
      </c>
      <c r="B288" s="8">
        <v>46171</v>
      </c>
      <c r="C288" t="s">
        <v>52</v>
      </c>
      <c r="D288" t="s">
        <v>18</v>
      </c>
      <c r="E288" t="s">
        <v>83</v>
      </c>
      <c r="F288" t="str">
        <f>_xlfn.XLOOKUP(E288,'KING TON SALES__ RAW DATA'!$A$2:$A$271,'KING TON SALES__ RAW DATA'!$B$2:$B$271)</f>
        <v>DC TO DC MALE (1.5m) WIRE</v>
      </c>
      <c r="G288" t="str">
        <f>_xlfn.XLOOKUP(E288,'KING TON SALES__ RAW DATA'!$A$2:$A$271,'KING TON SALES__ RAW DATA'!$D$2:$D$271)</f>
        <v>WIRE</v>
      </c>
      <c r="H288" s="6">
        <f>_xlfn.XLOOKUP(E288,'KING TON SALES__ RAW DATA'!$A$2:$A$271,'KING TON SALES__ RAW DATA'!$G$2:$G$271)</f>
        <v>500</v>
      </c>
      <c r="I288">
        <v>21</v>
      </c>
      <c r="J288" s="6">
        <f>_xlfn.XLOOKUP(E288,'KING TON SALES__ RAW DATA'!$A$2:$A$271,'KING TON SALES__ RAW DATA'!$I$2:$I$271)</f>
        <v>1000</v>
      </c>
      <c r="K288" s="6">
        <f t="shared" si="12"/>
        <v>10500</v>
      </c>
      <c r="L288" s="6">
        <f t="shared" si="13"/>
        <v>21000</v>
      </c>
      <c r="M288" s="6">
        <f t="shared" si="14"/>
        <v>10500</v>
      </c>
      <c r="N288" t="str">
        <f>_xlfn.XLOOKUP(E288,'KING TON SALES__ RAW DATA'!$A$2:$A$271,'KING TON SALES__ RAW DATA'!$M$2:$M$271)</f>
        <v>POS</v>
      </c>
    </row>
    <row r="289" spans="1:14">
      <c r="A289" s="7">
        <v>6950</v>
      </c>
      <c r="B289" s="8">
        <v>46156</v>
      </c>
      <c r="C289" t="s">
        <v>43</v>
      </c>
      <c r="D289" t="s">
        <v>18</v>
      </c>
      <c r="E289" t="s">
        <v>41</v>
      </c>
      <c r="F289" t="str">
        <f>_xlfn.XLOOKUP(E289,'KING TON SALES__ RAW DATA'!$A$2:$A$271,'KING TON SALES__ RAW DATA'!$B$2:$B$271)</f>
        <v>3 TO 3 AV (10m) WIRE</v>
      </c>
      <c r="G289" t="str">
        <f>_xlfn.XLOOKUP(E289,'KING TON SALES__ RAW DATA'!$A$2:$A$271,'KING TON SALES__ RAW DATA'!$D$2:$D$271)</f>
        <v>WIRE</v>
      </c>
      <c r="H289" s="6">
        <f>_xlfn.XLOOKUP(E289,'KING TON SALES__ RAW DATA'!$A$2:$A$271,'KING TON SALES__ RAW DATA'!$G$2:$G$271)</f>
        <v>1500</v>
      </c>
      <c r="I289">
        <v>20</v>
      </c>
      <c r="J289" s="6">
        <f>_xlfn.XLOOKUP(E289,'KING TON SALES__ RAW DATA'!$A$2:$A$271,'KING TON SALES__ RAW DATA'!$I$2:$I$271)</f>
        <v>3500</v>
      </c>
      <c r="K289" s="6">
        <f t="shared" si="12"/>
        <v>30000</v>
      </c>
      <c r="L289" s="6">
        <f t="shared" si="13"/>
        <v>70000</v>
      </c>
      <c r="M289" s="6">
        <f t="shared" si="14"/>
        <v>40000</v>
      </c>
      <c r="N289" t="str">
        <f>_xlfn.XLOOKUP(E289,'KING TON SALES__ RAW DATA'!$A$2:$A$271,'KING TON SALES__ RAW DATA'!$M$2:$M$271)</f>
        <v>POS</v>
      </c>
    </row>
    <row r="290" spans="1:14">
      <c r="A290" s="7">
        <v>6951</v>
      </c>
      <c r="B290" s="8">
        <v>46154</v>
      </c>
      <c r="C290" t="s">
        <v>36</v>
      </c>
      <c r="D290" t="s">
        <v>23</v>
      </c>
      <c r="E290" t="s">
        <v>164</v>
      </c>
      <c r="F290" t="str">
        <f>_xlfn.XLOOKUP(E290,'KING TON SALES__ RAW DATA'!$A$2:$A$271,'KING TON SALES__ RAW DATA'!$B$2:$B$271)</f>
        <v>TIGER AAA BATTERY</v>
      </c>
      <c r="G290" t="str">
        <f>_xlfn.XLOOKUP(E290,'KING TON SALES__ RAW DATA'!$A$2:$A$271,'KING TON SALES__ RAW DATA'!$D$2:$D$271)</f>
        <v>BATTERY</v>
      </c>
      <c r="H290" s="6">
        <f>_xlfn.XLOOKUP(E290,'KING TON SALES__ RAW DATA'!$A$2:$A$271,'KING TON SALES__ RAW DATA'!$G$2:$G$271)</f>
        <v>1000</v>
      </c>
      <c r="I290">
        <v>21</v>
      </c>
      <c r="J290" s="6">
        <f>_xlfn.XLOOKUP(E290,'KING TON SALES__ RAW DATA'!$A$2:$A$271,'KING TON SALES__ RAW DATA'!$I$2:$I$271)</f>
        <v>1500</v>
      </c>
      <c r="K290" s="6">
        <f t="shared" si="12"/>
        <v>21000</v>
      </c>
      <c r="L290" s="6">
        <f t="shared" si="13"/>
        <v>31500</v>
      </c>
      <c r="M290" s="6">
        <f t="shared" si="14"/>
        <v>10500</v>
      </c>
      <c r="N290" t="str">
        <f>_xlfn.XLOOKUP(E290,'KING TON SALES__ RAW DATA'!$A$2:$A$271,'KING TON SALES__ RAW DATA'!$M$2:$M$271)</f>
        <v>CASH</v>
      </c>
    </row>
    <row r="291" spans="1:14">
      <c r="A291" s="7">
        <v>6952</v>
      </c>
      <c r="B291" s="8">
        <v>46188</v>
      </c>
      <c r="C291" t="s">
        <v>19</v>
      </c>
      <c r="D291" t="s">
        <v>23</v>
      </c>
      <c r="E291" t="s">
        <v>151</v>
      </c>
      <c r="F291" t="str">
        <f>_xlfn.XLOOKUP(E291,'KING TON SALES__ RAW DATA'!$A$2:$A$271,'KING TON SALES__ RAW DATA'!$B$2:$B$271)</f>
        <v>777 9v BATTERY</v>
      </c>
      <c r="G291" t="str">
        <f>_xlfn.XLOOKUP(E291,'KING TON SALES__ RAW DATA'!$A$2:$A$271,'KING TON SALES__ RAW DATA'!$D$2:$D$271)</f>
        <v>BATTERY</v>
      </c>
      <c r="H291" s="6">
        <f>_xlfn.XLOOKUP(E291,'KING TON SALES__ RAW DATA'!$A$2:$A$271,'KING TON SALES__ RAW DATA'!$G$2:$G$271)</f>
        <v>250</v>
      </c>
      <c r="I291">
        <v>21</v>
      </c>
      <c r="J291" s="6">
        <f>_xlfn.XLOOKUP(E291,'KING TON SALES__ RAW DATA'!$A$2:$A$271,'KING TON SALES__ RAW DATA'!$I$2:$I$271)</f>
        <v>500</v>
      </c>
      <c r="K291" s="6">
        <f t="shared" si="12"/>
        <v>5250</v>
      </c>
      <c r="L291" s="6">
        <f t="shared" si="13"/>
        <v>10500</v>
      </c>
      <c r="M291" s="6">
        <f t="shared" si="14"/>
        <v>5250</v>
      </c>
      <c r="N291" t="str">
        <f>_xlfn.XLOOKUP(E291,'KING TON SALES__ RAW DATA'!$A$2:$A$271,'KING TON SALES__ RAW DATA'!$M$2:$M$271)</f>
        <v>TRANSFER</v>
      </c>
    </row>
    <row r="292" spans="1:14">
      <c r="A292" s="7">
        <v>6953</v>
      </c>
      <c r="B292" s="8">
        <v>46196</v>
      </c>
      <c r="C292" t="s">
        <v>19</v>
      </c>
      <c r="D292" t="s">
        <v>23</v>
      </c>
      <c r="E292" t="s">
        <v>122</v>
      </c>
      <c r="F292" t="str">
        <f>_xlfn.XLOOKUP(E292,'KING TON SALES__ RAW DATA'!$A$2:$A$271,'KING TON SALES__ RAW DATA'!$B$2:$B$271)</f>
        <v>13 AMPS SINGLE SOCKET NEW</v>
      </c>
      <c r="G292" t="str">
        <f>_xlfn.XLOOKUP(E292,'KING TON SALES__ RAW DATA'!$A$2:$A$271,'KING TON SALES__ RAW DATA'!$D$2:$D$271)</f>
        <v>ELECTRICAL</v>
      </c>
      <c r="H292" s="6">
        <f>_xlfn.XLOOKUP(E292,'KING TON SALES__ RAW DATA'!$A$2:$A$271,'KING TON SALES__ RAW DATA'!$G$2:$G$271)</f>
        <v>500</v>
      </c>
      <c r="I292">
        <v>17</v>
      </c>
      <c r="J292" s="6">
        <f>_xlfn.XLOOKUP(E292,'KING TON SALES__ RAW DATA'!$A$2:$A$271,'KING TON SALES__ RAW DATA'!$I$2:$I$271)</f>
        <v>1000</v>
      </c>
      <c r="K292" s="6">
        <f t="shared" si="12"/>
        <v>8500</v>
      </c>
      <c r="L292" s="6">
        <f t="shared" si="13"/>
        <v>17000</v>
      </c>
      <c r="M292" s="6">
        <f t="shared" si="14"/>
        <v>8500</v>
      </c>
      <c r="N292" t="str">
        <f>_xlfn.XLOOKUP(E292,'KING TON SALES__ RAW DATA'!$A$2:$A$271,'KING TON SALES__ RAW DATA'!$M$2:$M$271)</f>
        <v>TRANSFER</v>
      </c>
    </row>
    <row r="293" spans="1:14">
      <c r="A293" s="7">
        <v>6954</v>
      </c>
      <c r="B293" s="8">
        <v>46160</v>
      </c>
      <c r="C293" t="s">
        <v>19</v>
      </c>
      <c r="D293" t="s">
        <v>18</v>
      </c>
      <c r="E293" t="s">
        <v>186</v>
      </c>
      <c r="F293" t="str">
        <f>_xlfn.XLOOKUP(E293,'KING TON SALES__ RAW DATA'!$A$2:$A$271,'KING TON SALES__ RAW DATA'!$B$2:$B$271)</f>
        <v>UBEC 12V 7AH</v>
      </c>
      <c r="G293" t="str">
        <f>_xlfn.XLOOKUP(E293,'KING TON SALES__ RAW DATA'!$A$2:$A$271,'KING TON SALES__ RAW DATA'!$D$2:$D$271)</f>
        <v>BATTERY</v>
      </c>
      <c r="H293" s="6">
        <f>_xlfn.XLOOKUP(E293,'KING TON SALES__ RAW DATA'!$A$2:$A$271,'KING TON SALES__ RAW DATA'!$G$2:$G$271)</f>
        <v>12000</v>
      </c>
      <c r="I293">
        <v>20</v>
      </c>
      <c r="J293" s="6">
        <f>_xlfn.XLOOKUP(E293,'KING TON SALES__ RAW DATA'!$A$2:$A$271,'KING TON SALES__ RAW DATA'!$I$2:$I$271)</f>
        <v>16000</v>
      </c>
      <c r="K293" s="6">
        <f t="shared" si="12"/>
        <v>240000</v>
      </c>
      <c r="L293" s="6">
        <f t="shared" si="13"/>
        <v>320000</v>
      </c>
      <c r="M293" s="6">
        <f t="shared" si="14"/>
        <v>80000</v>
      </c>
      <c r="N293" t="str">
        <f>_xlfn.XLOOKUP(E293,'KING TON SALES__ RAW DATA'!$A$2:$A$271,'KING TON SALES__ RAW DATA'!$M$2:$M$271)</f>
        <v>CASH</v>
      </c>
    </row>
    <row r="294" spans="1:14">
      <c r="A294" s="7">
        <v>6955</v>
      </c>
      <c r="B294" s="8">
        <v>46180</v>
      </c>
      <c r="C294" t="s">
        <v>19</v>
      </c>
      <c r="D294" t="s">
        <v>23</v>
      </c>
      <c r="E294" t="s">
        <v>146</v>
      </c>
      <c r="F294" t="str">
        <f>_xlfn.XLOOKUP(E294,'KING TON SALES__ RAW DATA'!$A$2:$A$271,'KING TON SALES__ RAW DATA'!$B$2:$B$271)</f>
        <v>BENJOR EXTENTION 8 MOUTH</v>
      </c>
      <c r="G294" t="str">
        <f>_xlfn.XLOOKUP(E294,'KING TON SALES__ RAW DATA'!$A$2:$A$271,'KING TON SALES__ RAW DATA'!$D$2:$D$271)</f>
        <v>ELECTRICAL</v>
      </c>
      <c r="H294" s="6">
        <f>_xlfn.XLOOKUP(E294,'KING TON SALES__ RAW DATA'!$A$2:$A$271,'KING TON SALES__ RAW DATA'!$G$2:$G$271)</f>
        <v>6000</v>
      </c>
      <c r="I294">
        <v>25</v>
      </c>
      <c r="J294" s="6">
        <f>_xlfn.XLOOKUP(E294,'KING TON SALES__ RAW DATA'!$A$2:$A$271,'KING TON SALES__ RAW DATA'!$I$2:$I$271)</f>
        <v>12000</v>
      </c>
      <c r="K294" s="6">
        <f t="shared" si="12"/>
        <v>150000</v>
      </c>
      <c r="L294" s="6">
        <f t="shared" si="13"/>
        <v>300000</v>
      </c>
      <c r="M294" s="6">
        <f t="shared" si="14"/>
        <v>150000</v>
      </c>
      <c r="N294" t="str">
        <f>_xlfn.XLOOKUP(E294,'KING TON SALES__ RAW DATA'!$A$2:$A$271,'KING TON SALES__ RAW DATA'!$M$2:$M$271)</f>
        <v>TRANSFER</v>
      </c>
    </row>
    <row r="295" spans="1:14">
      <c r="A295" s="7">
        <v>6956</v>
      </c>
      <c r="B295" s="8">
        <v>46169</v>
      </c>
      <c r="C295" t="s">
        <v>36</v>
      </c>
      <c r="D295" t="s">
        <v>23</v>
      </c>
      <c r="E295" t="s">
        <v>164</v>
      </c>
      <c r="F295" t="str">
        <f>_xlfn.XLOOKUP(E295,'KING TON SALES__ RAW DATA'!$A$2:$A$271,'KING TON SALES__ RAW DATA'!$B$2:$B$271)</f>
        <v>TIGER AAA BATTERY</v>
      </c>
      <c r="G295" t="str">
        <f>_xlfn.XLOOKUP(E295,'KING TON SALES__ RAW DATA'!$A$2:$A$271,'KING TON SALES__ RAW DATA'!$D$2:$D$271)</f>
        <v>BATTERY</v>
      </c>
      <c r="H295" s="6">
        <f>_xlfn.XLOOKUP(E295,'KING TON SALES__ RAW DATA'!$A$2:$A$271,'KING TON SALES__ RAW DATA'!$G$2:$G$271)</f>
        <v>1000</v>
      </c>
      <c r="I295">
        <v>25</v>
      </c>
      <c r="J295" s="6">
        <f>_xlfn.XLOOKUP(E295,'KING TON SALES__ RAW DATA'!$A$2:$A$271,'KING TON SALES__ RAW DATA'!$I$2:$I$271)</f>
        <v>1500</v>
      </c>
      <c r="K295" s="6">
        <f t="shared" si="12"/>
        <v>25000</v>
      </c>
      <c r="L295" s="6">
        <f t="shared" si="13"/>
        <v>37500</v>
      </c>
      <c r="M295" s="6">
        <f t="shared" si="14"/>
        <v>12500</v>
      </c>
      <c r="N295" t="str">
        <f>_xlfn.XLOOKUP(E295,'KING TON SALES__ RAW DATA'!$A$2:$A$271,'KING TON SALES__ RAW DATA'!$M$2:$M$271)</f>
        <v>CASH</v>
      </c>
    </row>
    <row r="296" spans="1:14">
      <c r="A296" s="7">
        <v>6957</v>
      </c>
      <c r="B296" s="8">
        <v>46167</v>
      </c>
      <c r="C296" t="s">
        <v>19</v>
      </c>
      <c r="D296" t="s">
        <v>23</v>
      </c>
      <c r="E296" t="s">
        <v>184</v>
      </c>
      <c r="F296" t="str">
        <f>_xlfn.XLOOKUP(E296,'KING TON SALES__ RAW DATA'!$A$2:$A$271,'KING TON SALES__ RAW DATA'!$B$2:$B$271)</f>
        <v>UBEC 6V 5AH</v>
      </c>
      <c r="G296" t="str">
        <f>_xlfn.XLOOKUP(E296,'KING TON SALES__ RAW DATA'!$A$2:$A$271,'KING TON SALES__ RAW DATA'!$D$2:$D$271)</f>
        <v>BATTERY</v>
      </c>
      <c r="H296" s="6">
        <f>_xlfn.XLOOKUP(E296,'KING TON SALES__ RAW DATA'!$A$2:$A$271,'KING TON SALES__ RAW DATA'!$G$2:$G$271)</f>
        <v>3500</v>
      </c>
      <c r="I296">
        <v>24</v>
      </c>
      <c r="J296" s="6">
        <f>_xlfn.XLOOKUP(E296,'KING TON SALES__ RAW DATA'!$A$2:$A$271,'KING TON SALES__ RAW DATA'!$I$2:$I$271)</f>
        <v>7000</v>
      </c>
      <c r="K296" s="6">
        <f t="shared" si="12"/>
        <v>84000</v>
      </c>
      <c r="L296" s="6">
        <f t="shared" si="13"/>
        <v>168000</v>
      </c>
      <c r="M296" s="6">
        <f t="shared" si="14"/>
        <v>84000</v>
      </c>
      <c r="N296" t="str">
        <f>_xlfn.XLOOKUP(E296,'KING TON SALES__ RAW DATA'!$A$2:$A$271,'KING TON SALES__ RAW DATA'!$M$2:$M$271)</f>
        <v>CASH</v>
      </c>
    </row>
    <row r="297" spans="1:14">
      <c r="A297" s="7">
        <v>6958</v>
      </c>
      <c r="B297" s="8">
        <v>46194</v>
      </c>
      <c r="C297" t="s">
        <v>19</v>
      </c>
      <c r="D297" t="s">
        <v>18</v>
      </c>
      <c r="E297" t="s">
        <v>57</v>
      </c>
      <c r="F297" t="str">
        <f>_xlfn.XLOOKUP(E297,'KING TON SALES__ RAW DATA'!$A$2:$A$271,'KING TON SALES__ RAW DATA'!$B$2:$B$271)</f>
        <v>HDMI (20m) WIRE</v>
      </c>
      <c r="G297" t="str">
        <f>_xlfn.XLOOKUP(E297,'KING TON SALES__ RAW DATA'!$A$2:$A$271,'KING TON SALES__ RAW DATA'!$D$2:$D$271)</f>
        <v>WIRE</v>
      </c>
      <c r="H297" s="6">
        <f>_xlfn.XLOOKUP(E297,'KING TON SALES__ RAW DATA'!$A$2:$A$271,'KING TON SALES__ RAW DATA'!$G$2:$G$271)</f>
        <v>4000</v>
      </c>
      <c r="I297">
        <v>19</v>
      </c>
      <c r="J297" s="6">
        <f>_xlfn.XLOOKUP(E297,'KING TON SALES__ RAW DATA'!$A$2:$A$271,'KING TON SALES__ RAW DATA'!$I$2:$I$271)</f>
        <v>12000</v>
      </c>
      <c r="K297" s="6">
        <f t="shared" si="12"/>
        <v>76000</v>
      </c>
      <c r="L297" s="6">
        <f t="shared" si="13"/>
        <v>228000</v>
      </c>
      <c r="M297" s="6">
        <f t="shared" si="14"/>
        <v>152000</v>
      </c>
      <c r="N297" t="str">
        <f>_xlfn.XLOOKUP(E297,'KING TON SALES__ RAW DATA'!$A$2:$A$271,'KING TON SALES__ RAW DATA'!$M$2:$M$271)</f>
        <v>TRANSFER</v>
      </c>
    </row>
    <row r="298" spans="1:14">
      <c r="A298" s="7">
        <v>6959</v>
      </c>
      <c r="B298" s="8">
        <v>46148</v>
      </c>
      <c r="C298" t="s">
        <v>43</v>
      </c>
      <c r="D298" t="s">
        <v>18</v>
      </c>
      <c r="E298" t="s">
        <v>227</v>
      </c>
      <c r="F298" t="str">
        <f>_xlfn.XLOOKUP(E298,'KING TON SALES__ RAW DATA'!$A$2:$A$271,'KING TON SALES__ RAW DATA'!$B$2:$B$271)</f>
        <v>STONE-TECH DIGITAL SURGE 20 AMPS SURGE</v>
      </c>
      <c r="G298" t="str">
        <f>_xlfn.XLOOKUP(E298,'KING TON SALES__ RAW DATA'!$A$2:$A$271,'KING TON SALES__ RAW DATA'!$D$2:$D$271)</f>
        <v>SURGE</v>
      </c>
      <c r="H298" s="6">
        <f>_xlfn.XLOOKUP(E298,'KING TON SALES__ RAW DATA'!$A$2:$A$271,'KING TON SALES__ RAW DATA'!$G$2:$G$271)</f>
        <v>3000</v>
      </c>
      <c r="I298">
        <v>17</v>
      </c>
      <c r="J298" s="6">
        <f>_xlfn.XLOOKUP(E298,'KING TON SALES__ RAW DATA'!$A$2:$A$271,'KING TON SALES__ RAW DATA'!$I$2:$I$271)</f>
        <v>6000</v>
      </c>
      <c r="K298" s="6">
        <f t="shared" si="12"/>
        <v>51000</v>
      </c>
      <c r="L298" s="6">
        <f t="shared" si="13"/>
        <v>102000</v>
      </c>
      <c r="M298" s="6">
        <f t="shared" si="14"/>
        <v>51000</v>
      </c>
      <c r="N298" t="str">
        <f>_xlfn.XLOOKUP(E298,'KING TON SALES__ RAW DATA'!$A$2:$A$271,'KING TON SALES__ RAW DATA'!$M$2:$M$271)</f>
        <v>CASH</v>
      </c>
    </row>
    <row r="299" spans="1:14">
      <c r="A299" s="7">
        <v>6960</v>
      </c>
      <c r="B299" s="8">
        <v>46145</v>
      </c>
      <c r="C299" t="s">
        <v>43</v>
      </c>
      <c r="D299" t="s">
        <v>18</v>
      </c>
      <c r="E299" t="s">
        <v>134</v>
      </c>
      <c r="F299" t="str">
        <f>_xlfn.XLOOKUP(E299,'KING TON SALES__ RAW DATA'!$A$2:$A$271,'KING TON SALES__ RAW DATA'!$B$2:$B$271)</f>
        <v>BENJOR MULTI WITH SWITCH</v>
      </c>
      <c r="G299" t="str">
        <f>_xlfn.XLOOKUP(E299,'KING TON SALES__ RAW DATA'!$A$2:$A$271,'KING TON SALES__ RAW DATA'!$D$2:$D$271)</f>
        <v>ELECTRICAL</v>
      </c>
      <c r="H299" s="6">
        <f>_xlfn.XLOOKUP(E299,'KING TON SALES__ RAW DATA'!$A$2:$A$271,'KING TON SALES__ RAW DATA'!$G$2:$G$271)</f>
        <v>1000</v>
      </c>
      <c r="I299">
        <v>18</v>
      </c>
      <c r="J299" s="6">
        <f>_xlfn.XLOOKUP(E299,'KING TON SALES__ RAW DATA'!$A$2:$A$271,'KING TON SALES__ RAW DATA'!$I$2:$I$271)</f>
        <v>3000</v>
      </c>
      <c r="K299" s="6">
        <f t="shared" si="12"/>
        <v>18000</v>
      </c>
      <c r="L299" s="6">
        <f t="shared" si="13"/>
        <v>54000</v>
      </c>
      <c r="M299" s="6">
        <f t="shared" si="14"/>
        <v>36000</v>
      </c>
      <c r="N299" t="str">
        <f>_xlfn.XLOOKUP(E299,'KING TON SALES__ RAW DATA'!$A$2:$A$271,'KING TON SALES__ RAW DATA'!$M$2:$M$271)</f>
        <v>POS</v>
      </c>
    </row>
    <row r="300" spans="1:14">
      <c r="A300" s="7">
        <v>6961</v>
      </c>
      <c r="B300" s="8">
        <v>46203</v>
      </c>
      <c r="C300" t="s">
        <v>33</v>
      </c>
      <c r="D300" t="s">
        <v>23</v>
      </c>
      <c r="E300" t="s">
        <v>109</v>
      </c>
      <c r="F300" t="str">
        <f>_xlfn.XLOOKUP(E300,'KING TON SALES__ RAW DATA'!$A$2:$A$271,'KING TON SALES__ RAW DATA'!$B$2:$B$271)</f>
        <v>OPTICAL CABLE (1.5m)</v>
      </c>
      <c r="G300" t="str">
        <f>_xlfn.XLOOKUP(E300,'KING TON SALES__ RAW DATA'!$A$2:$A$271,'KING TON SALES__ RAW DATA'!$D$2:$D$271)</f>
        <v>WIRE</v>
      </c>
      <c r="H300" s="6">
        <f>_xlfn.XLOOKUP(E300,'KING TON SALES__ RAW DATA'!$A$2:$A$271,'KING TON SALES__ RAW DATA'!$G$2:$G$271)</f>
        <v>1500</v>
      </c>
      <c r="I300">
        <v>23</v>
      </c>
      <c r="J300" s="6">
        <f>_xlfn.XLOOKUP(E300,'KING TON SALES__ RAW DATA'!$A$2:$A$271,'KING TON SALES__ RAW DATA'!$I$2:$I$271)</f>
        <v>3500</v>
      </c>
      <c r="K300" s="6">
        <f t="shared" si="12"/>
        <v>34500</v>
      </c>
      <c r="L300" s="6">
        <f t="shared" si="13"/>
        <v>80500</v>
      </c>
      <c r="M300" s="6">
        <f t="shared" si="14"/>
        <v>46000</v>
      </c>
      <c r="N300" t="str">
        <f>_xlfn.XLOOKUP(E300,'KING TON SALES__ RAW DATA'!$A$2:$A$271,'KING TON SALES__ RAW DATA'!$M$2:$M$271)</f>
        <v>CASH</v>
      </c>
    </row>
    <row r="301" spans="1:14">
      <c r="A301" s="7">
        <v>6962</v>
      </c>
      <c r="B301" s="8">
        <v>46155</v>
      </c>
      <c r="C301" t="s">
        <v>33</v>
      </c>
      <c r="D301" t="s">
        <v>23</v>
      </c>
      <c r="E301" t="s">
        <v>202</v>
      </c>
      <c r="F301" t="str">
        <f>_xlfn.XLOOKUP(E301,'KING TON SALES__ RAW DATA'!$A$2:$A$271,'KING TON SALES__ RAW DATA'!$B$2:$B$271)</f>
        <v>SONIK 12V 7AH</v>
      </c>
      <c r="G301" t="str">
        <f>_xlfn.XLOOKUP(E301,'KING TON SALES__ RAW DATA'!$A$2:$A$271,'KING TON SALES__ RAW DATA'!$D$2:$D$271)</f>
        <v>BATTERY</v>
      </c>
      <c r="H301" s="6">
        <f>_xlfn.XLOOKUP(E301,'KING TON SALES__ RAW DATA'!$A$2:$A$271,'KING TON SALES__ RAW DATA'!$G$2:$G$271)</f>
        <v>12000</v>
      </c>
      <c r="I301">
        <v>21</v>
      </c>
      <c r="J301" s="6">
        <f>_xlfn.XLOOKUP(E301,'KING TON SALES__ RAW DATA'!$A$2:$A$271,'KING TON SALES__ RAW DATA'!$I$2:$I$271)</f>
        <v>18000</v>
      </c>
      <c r="K301" s="6">
        <f t="shared" si="12"/>
        <v>252000</v>
      </c>
      <c r="L301" s="6">
        <f t="shared" si="13"/>
        <v>378000</v>
      </c>
      <c r="M301" s="6">
        <f t="shared" si="14"/>
        <v>126000</v>
      </c>
      <c r="N301" t="str">
        <f>_xlfn.XLOOKUP(E301,'KING TON SALES__ RAW DATA'!$A$2:$A$271,'KING TON SALES__ RAW DATA'!$M$2:$M$271)</f>
        <v>POS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workbookViewId="0">
      <selection activeCell="A1" sqref="A1"/>
      <pivotSelection pane="bottomRight" showHeader="1" extendable="1" click="2" r:id="rId1">
        <pivotArea field="6" type="button" dataOnly="0" labelOnly="1" outline="0" fieldPosition="0"/>
      </pivotSelection>
    </sheetView>
  </sheetViews>
  <sheetFormatPr defaultColWidth="9.14285714285714" defaultRowHeight="15"/>
  <cols>
    <col min="1" max="1" width="34.1428571428571"/>
    <col min="2" max="3" width="21.7142857142857"/>
    <col min="5" max="5" width="19"/>
    <col min="6" max="8" width="25.2857142857143"/>
    <col min="9" max="9" width="34.1428571428571"/>
    <col min="10" max="10" width="24"/>
  </cols>
  <sheetData>
    <row r="1" spans="1:10">
      <c r="A1" t="s">
        <v>3</v>
      </c>
      <c r="B1" t="s">
        <v>594</v>
      </c>
      <c r="C1" t="s">
        <v>595</v>
      </c>
      <c r="E1" t="s">
        <v>5</v>
      </c>
      <c r="F1" t="s">
        <v>594</v>
      </c>
      <c r="G1" t="s">
        <v>595</v>
      </c>
      <c r="I1" t="s">
        <v>1</v>
      </c>
      <c r="J1" t="s">
        <v>596</v>
      </c>
    </row>
    <row r="2" spans="1:10">
      <c r="A2" t="s">
        <v>153</v>
      </c>
      <c r="B2" s="2">
        <v>3473500</v>
      </c>
      <c r="C2" s="2">
        <v>1134800</v>
      </c>
      <c r="E2" t="s">
        <v>33</v>
      </c>
      <c r="F2" s="2">
        <v>10338500</v>
      </c>
      <c r="G2" s="2">
        <v>5016500</v>
      </c>
      <c r="I2" t="s">
        <v>70</v>
      </c>
      <c r="J2">
        <v>129</v>
      </c>
    </row>
    <row r="3" spans="1:10">
      <c r="A3" t="s">
        <v>243</v>
      </c>
      <c r="B3" s="2">
        <v>31500</v>
      </c>
      <c r="C3" s="2">
        <v>10500</v>
      </c>
      <c r="E3" t="s">
        <v>19</v>
      </c>
      <c r="F3" s="2">
        <v>30983000</v>
      </c>
      <c r="G3" s="2">
        <v>12689700</v>
      </c>
      <c r="I3" t="s">
        <v>40</v>
      </c>
      <c r="J3">
        <v>130</v>
      </c>
    </row>
    <row r="4" spans="1:10">
      <c r="A4" t="s">
        <v>115</v>
      </c>
      <c r="B4" s="2">
        <v>7783500</v>
      </c>
      <c r="C4" s="2">
        <v>3790700</v>
      </c>
      <c r="E4" t="s">
        <v>43</v>
      </c>
      <c r="F4" s="2">
        <v>4699500</v>
      </c>
      <c r="G4" s="2">
        <v>2330800</v>
      </c>
      <c r="I4" t="s">
        <v>135</v>
      </c>
      <c r="J4">
        <v>132</v>
      </c>
    </row>
    <row r="5" spans="1:10">
      <c r="A5" t="s">
        <v>214</v>
      </c>
      <c r="B5" s="2">
        <v>1736000</v>
      </c>
      <c r="C5" s="2">
        <v>1095000</v>
      </c>
      <c r="E5" t="s">
        <v>36</v>
      </c>
      <c r="F5" s="2">
        <v>26305500</v>
      </c>
      <c r="G5" s="2">
        <v>9537900</v>
      </c>
      <c r="I5" t="s">
        <v>54</v>
      </c>
      <c r="J5">
        <v>137</v>
      </c>
    </row>
    <row r="6" spans="1:10">
      <c r="A6" t="s">
        <v>150</v>
      </c>
      <c r="B6" s="2">
        <v>131500</v>
      </c>
      <c r="C6" s="2">
        <v>66600</v>
      </c>
      <c r="E6" t="s">
        <v>52</v>
      </c>
      <c r="F6" s="2">
        <v>4446500</v>
      </c>
      <c r="G6" s="2">
        <v>2192000</v>
      </c>
      <c r="I6" t="s">
        <v>80</v>
      </c>
      <c r="J6">
        <v>145</v>
      </c>
    </row>
    <row r="7" spans="1:10">
      <c r="A7" t="s">
        <v>17</v>
      </c>
      <c r="B7" s="2">
        <v>63617000</v>
      </c>
      <c r="C7" s="2">
        <v>25669300</v>
      </c>
      <c r="E7" t="s">
        <v>597</v>
      </c>
      <c r="F7" s="2">
        <v>76773000</v>
      </c>
      <c r="G7" s="2">
        <v>31766900</v>
      </c>
      <c r="I7" t="s">
        <v>123</v>
      </c>
      <c r="J7">
        <v>155</v>
      </c>
    </row>
    <row r="8" spans="1:10">
      <c r="A8" t="s">
        <v>597</v>
      </c>
      <c r="B8" s="2">
        <v>76773000</v>
      </c>
      <c r="C8" s="2">
        <v>31766900</v>
      </c>
      <c r="I8" t="s">
        <v>76</v>
      </c>
      <c r="J8">
        <v>165</v>
      </c>
    </row>
    <row r="9" spans="9:10">
      <c r="I9" t="s">
        <v>72</v>
      </c>
      <c r="J9">
        <v>173</v>
      </c>
    </row>
    <row r="10" spans="1:10">
      <c r="A10" t="s">
        <v>1</v>
      </c>
      <c r="B10" t="s">
        <v>594</v>
      </c>
      <c r="C10" t="s">
        <v>595</v>
      </c>
      <c r="E10" t="s">
        <v>12</v>
      </c>
      <c r="F10" t="s">
        <v>594</v>
      </c>
      <c r="G10" t="s">
        <v>595</v>
      </c>
      <c r="I10" t="s">
        <v>42</v>
      </c>
      <c r="J10">
        <v>174</v>
      </c>
    </row>
    <row r="11" spans="1:10">
      <c r="A11" t="s">
        <v>62</v>
      </c>
      <c r="B11" s="2">
        <v>1740000</v>
      </c>
      <c r="C11" s="2">
        <v>435000</v>
      </c>
      <c r="E11" t="s">
        <v>24</v>
      </c>
      <c r="F11" s="2">
        <v>21079000</v>
      </c>
      <c r="G11" s="2">
        <v>8787650</v>
      </c>
      <c r="I11" t="s">
        <v>139</v>
      </c>
      <c r="J11">
        <v>213</v>
      </c>
    </row>
    <row r="12" spans="1:10">
      <c r="A12" t="s">
        <v>80</v>
      </c>
      <c r="B12" s="2">
        <v>1740000</v>
      </c>
      <c r="C12" s="2">
        <v>870000</v>
      </c>
      <c r="E12" t="s">
        <v>20</v>
      </c>
      <c r="F12" s="2">
        <v>28640500</v>
      </c>
      <c r="G12" s="2">
        <v>12503100</v>
      </c>
      <c r="I12" t="s">
        <v>597</v>
      </c>
      <c r="J12">
        <v>1553</v>
      </c>
    </row>
    <row r="13" spans="1:7">
      <c r="A13" t="s">
        <v>66</v>
      </c>
      <c r="B13" s="2">
        <v>1830000</v>
      </c>
      <c r="C13" s="2">
        <v>1220000</v>
      </c>
      <c r="E13" t="s">
        <v>30</v>
      </c>
      <c r="F13" s="2">
        <v>27053500</v>
      </c>
      <c r="G13" s="2">
        <v>10476150</v>
      </c>
    </row>
    <row r="14" spans="1:7">
      <c r="A14" t="s">
        <v>100</v>
      </c>
      <c r="B14" s="2">
        <v>2340000</v>
      </c>
      <c r="C14" s="2">
        <v>936000</v>
      </c>
      <c r="E14" t="s">
        <v>597</v>
      </c>
      <c r="F14" s="2">
        <v>76773000</v>
      </c>
      <c r="G14" s="2">
        <v>31766900</v>
      </c>
    </row>
    <row r="15" spans="1:3">
      <c r="A15" t="s">
        <v>139</v>
      </c>
      <c r="B15" s="2">
        <v>2556000</v>
      </c>
      <c r="C15" s="2">
        <v>1065000</v>
      </c>
    </row>
    <row r="16" spans="1:3">
      <c r="A16" t="s">
        <v>92</v>
      </c>
      <c r="B16" s="2">
        <v>3540000</v>
      </c>
      <c r="C16" s="2">
        <v>1180000</v>
      </c>
    </row>
    <row r="17" spans="1:8">
      <c r="A17" t="s">
        <v>94</v>
      </c>
      <c r="B17" s="2">
        <v>4200000</v>
      </c>
      <c r="C17" s="2">
        <v>1680000</v>
      </c>
      <c r="E17" t="s">
        <v>4</v>
      </c>
      <c r="F17" t="s">
        <v>598</v>
      </c>
      <c r="G17" t="s">
        <v>594</v>
      </c>
      <c r="H17" t="s">
        <v>595</v>
      </c>
    </row>
    <row r="18" spans="1:8">
      <c r="A18" t="s">
        <v>96</v>
      </c>
      <c r="B18" s="2">
        <v>4800000</v>
      </c>
      <c r="C18" s="2">
        <v>1800000</v>
      </c>
      <c r="E18" t="s">
        <v>23</v>
      </c>
      <c r="F18">
        <v>184</v>
      </c>
      <c r="G18" s="2">
        <v>52661000</v>
      </c>
      <c r="H18" s="2">
        <v>21841350</v>
      </c>
    </row>
    <row r="19" spans="1:8">
      <c r="A19" t="s">
        <v>70</v>
      </c>
      <c r="B19" s="2">
        <v>5805000</v>
      </c>
      <c r="C19" s="2">
        <v>1935000</v>
      </c>
      <c r="E19" t="s">
        <v>18</v>
      </c>
      <c r="F19">
        <v>116</v>
      </c>
      <c r="G19" s="2">
        <v>24112000</v>
      </c>
      <c r="H19" s="2">
        <v>9925550</v>
      </c>
    </row>
    <row r="20" spans="1:8">
      <c r="A20" t="s">
        <v>98</v>
      </c>
      <c r="B20" s="2">
        <v>6710000</v>
      </c>
      <c r="C20" s="2">
        <v>1830000</v>
      </c>
      <c r="E20" t="s">
        <v>597</v>
      </c>
      <c r="F20">
        <v>300</v>
      </c>
      <c r="G20" s="2">
        <v>76773000</v>
      </c>
      <c r="H20" s="2">
        <v>31766900</v>
      </c>
    </row>
    <row r="21" spans="1:3">
      <c r="A21" t="s">
        <v>72</v>
      </c>
      <c r="B21" s="2">
        <v>17300000</v>
      </c>
      <c r="C21" s="2">
        <v>6920000</v>
      </c>
    </row>
    <row r="22" spans="1:7">
      <c r="A22" t="s">
        <v>597</v>
      </c>
      <c r="B22" s="2">
        <v>52561000</v>
      </c>
      <c r="C22" s="2">
        <v>19871000</v>
      </c>
      <c r="E22" t="s">
        <v>2</v>
      </c>
      <c r="F22" t="s">
        <v>594</v>
      </c>
      <c r="G22" t="s">
        <v>595</v>
      </c>
    </row>
    <row r="23" spans="5:7">
      <c r="E23" t="s">
        <v>599</v>
      </c>
      <c r="F23" s="2">
        <v>4590000</v>
      </c>
      <c r="G23" s="2">
        <v>1947900</v>
      </c>
    </row>
    <row r="24" spans="5:7">
      <c r="E24" t="s">
        <v>600</v>
      </c>
      <c r="F24" s="2">
        <v>4666500</v>
      </c>
      <c r="G24" s="2">
        <v>2367900</v>
      </c>
    </row>
    <row r="25" spans="5:7">
      <c r="E25" t="s">
        <v>601</v>
      </c>
      <c r="F25" s="2">
        <v>31884500</v>
      </c>
      <c r="G25" s="2">
        <v>12495100</v>
      </c>
    </row>
    <row r="26" spans="5:7">
      <c r="E26" t="s">
        <v>602</v>
      </c>
      <c r="F26" s="2">
        <v>35632000</v>
      </c>
      <c r="G26" s="2">
        <v>14956000</v>
      </c>
    </row>
    <row r="27" spans="5:7">
      <c r="E27" t="s">
        <v>597</v>
      </c>
      <c r="F27" s="2">
        <v>76773000</v>
      </c>
      <c r="G27" s="2">
        <v>31766900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4"/>
  <sheetViews>
    <sheetView workbookViewId="0">
      <selection activeCell="E6" sqref="E6"/>
    </sheetView>
  </sheetViews>
  <sheetFormatPr defaultColWidth="9.14285714285714" defaultRowHeight="15" outlineLevelCol="4"/>
  <cols>
    <col min="1" max="1" width="21.7142857142857"/>
    <col min="2" max="2" width="17.2857142857143"/>
    <col min="3" max="3" width="24"/>
    <col min="4" max="4" width="21.1428571428571"/>
    <col min="5" max="5" width="25.5714285714286"/>
  </cols>
  <sheetData>
    <row r="2" spans="1:4">
      <c r="A2" t="s">
        <v>595</v>
      </c>
      <c r="D2" t="s">
        <v>603</v>
      </c>
    </row>
    <row r="3" spans="1:4">
      <c r="A3" s="1">
        <v>31766900</v>
      </c>
      <c r="D3" s="2">
        <v>255910</v>
      </c>
    </row>
    <row r="7" spans="2:2">
      <c r="B7" t="s">
        <v>594</v>
      </c>
    </row>
    <row r="8" spans="2:2">
      <c r="B8" s="1">
        <v>76773000</v>
      </c>
    </row>
    <row r="11" spans="5:5">
      <c r="E11" t="s">
        <v>598</v>
      </c>
    </row>
    <row r="12" spans="5:5">
      <c r="E12" s="3">
        <v>300</v>
      </c>
    </row>
    <row r="13" spans="3:3">
      <c r="C13" t="s">
        <v>596</v>
      </c>
    </row>
    <row r="14" spans="3:3">
      <c r="C14" s="4">
        <v>6270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tabSelected="1" zoomScale="60" zoomScaleNormal="60" workbookViewId="0">
      <selection activeCell="AI18" sqref="AI18"/>
    </sheetView>
  </sheetViews>
  <sheetFormatPr defaultColWidth="9.14285714285714" defaultRowHeight="15"/>
  <sheetData/>
  <sheetProtection sheet="1" selectLockedCells="1" selectUnlockedCells="1" pivotTables="0" objects="1"/>
  <pageMargins left="0.75" right="0.75" top="1" bottom="1" header="0.5" footer="0.5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10" master="" otherUserPermission="visible"/>
  <rangeList sheetStid="14" master="" otherUserPermission="visible"/>
  <rangeList sheetStid="13" master="" otherUserPermission="visible"/>
  <rangeList sheetStid="1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KING TON SALES__ RAW DATA</vt:lpstr>
      <vt:lpstr>SALES ANALYSIS </vt:lpstr>
      <vt:lpstr>PIVOT TABLE</vt:lpstr>
      <vt:lpstr>KPI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Odion Anthony</cp:lastModifiedBy>
  <dcterms:created xsi:type="dcterms:W3CDTF">2026-09-11T21:19:00Z</dcterms:created>
  <dcterms:modified xsi:type="dcterms:W3CDTF">2026-10-04T20:50:10Z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1A9505E9162C448DB456B82BB110F1B6_12</vt:lpwstr>
  </property>
  <property fmtid="{D5CDD505-2E9C-101B-9397-08002B2CF9AE}" pid="3" name="KSOProductBuildVer">
    <vt:lpwstr>2057-12.2.0.23206</vt:lpwstr>
  </property>
</Properties>
</file>